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Y:\07-최연지 주무관\2027년\01 정부포상\2027년 2월말\02 학교 알림 공문\"/>
    </mc:Choice>
  </mc:AlternateContent>
  <xr:revisionPtr revIDLastSave="0" documentId="13_ncr:1_{8EE7172B-B218-40AE-BDD2-00B015AE1ED4}" xr6:coauthVersionLast="47" xr6:coauthVersionMax="47" xr10:uidLastSave="{00000000-0000-0000-0000-000000000000}"/>
  <bookViews>
    <workbookView xWindow="-120" yWindow="-120" windowWidth="29040" windowHeight="15720" tabRatio="641" xr2:uid="{23477049-377A-4A96-9A84-9464B12D7F36}"/>
  </bookViews>
  <sheets>
    <sheet name="(작성)추천자명단" sheetId="3" r:id="rId1"/>
    <sheet name="(참고)상훈포털 입력방법 안내" sheetId="2" r:id="rId2"/>
    <sheet name="(숨김)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2" l="1"/>
  <c r="E36" i="2"/>
  <c r="E35" i="2"/>
  <c r="C37" i="2"/>
  <c r="C36" i="2"/>
  <c r="C35" i="2"/>
  <c r="B3" i="5"/>
  <c r="C3" i="5" s="1"/>
  <c r="B6" i="5"/>
  <c r="C6" i="5" s="1"/>
  <c r="B5" i="5"/>
  <c r="C5" i="5" s="1"/>
  <c r="B4" i="5"/>
  <c r="C4" i="5" s="1"/>
  <c r="B2" i="5"/>
  <c r="D2" i="5" s="1"/>
  <c r="C13" i="2"/>
  <c r="D3" i="5" l="1"/>
  <c r="D4" i="5"/>
  <c r="D6" i="5"/>
  <c r="E3" i="5"/>
  <c r="F3" i="5" s="1"/>
  <c r="E5" i="5"/>
  <c r="E4" i="5"/>
  <c r="C2" i="5"/>
  <c r="E6" i="5"/>
  <c r="D5" i="5"/>
  <c r="F5" i="5" s="1"/>
  <c r="E2" i="5"/>
  <c r="F6" i="5" l="1"/>
  <c r="F4" i="5"/>
  <c r="F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mest</author>
    <author>NSJ</author>
  </authors>
  <commentList>
    <comment ref="D4" authorId="0" shapeId="0" xr:uid="{0B0C8468-CDFE-4A0F-AC51-5712C2D9BA53}">
      <text>
        <r>
          <rPr>
            <sz val="9"/>
            <color indexed="81"/>
            <rFont val="맑은 고딕"/>
            <family val="3"/>
            <charset val="129"/>
            <scheme val="minor"/>
          </rPr>
          <t xml:space="preserve">유치원,초등학교,중학교,고등학교, 
특수학교, </t>
        </r>
        <r>
          <rPr>
            <b/>
            <sz val="9"/>
            <color indexed="12"/>
            <rFont val="맑은 고딕"/>
            <family val="3"/>
            <charset val="129"/>
            <scheme val="minor"/>
          </rPr>
          <t>교육청등</t>
        </r>
        <r>
          <rPr>
            <sz val="9"/>
            <color indexed="12"/>
            <rFont val="맑은 고딕"/>
            <family val="3"/>
            <charset val="129"/>
            <scheme val="minor"/>
          </rPr>
          <t xml:space="preserve">, </t>
        </r>
        <r>
          <rPr>
            <b/>
            <sz val="9"/>
            <color indexed="12"/>
            <rFont val="맑은 고딕"/>
            <family val="3"/>
            <charset val="129"/>
            <scheme val="minor"/>
          </rPr>
          <t>학력인정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,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 전문대학, 대학교 중 택1
▶ 교육지원청, 교육청, 직속기관 등 근무자는 '교육청등'으로,        학력인정 평생교육시설은 '학력인정'으로 구분</t>
        </r>
      </text>
    </comment>
    <comment ref="F4" authorId="0" shapeId="0" xr:uid="{626BCFAA-F170-4915-A27C-13558574CBA3}">
      <text>
        <r>
          <rPr>
            <sz val="9"/>
            <color indexed="81"/>
            <rFont val="굴림"/>
            <family val="3"/>
          </rPr>
          <t>* 직급(원칙):상훈시스템 참조(선택 기능)
  - 교육장,장학관,장학사,교육연구관,교육연구사/교장,교감,교사,원장,원감/총장,부총장,학장(단과대제외),교수,부교수,조교수,전임강사 중 택1
** 선택안됨:부교육감,보건교사,유치원교사,초등교사, 00국장,00과장 등
▶ 주의!!</t>
        </r>
        <r>
          <rPr>
            <b/>
            <sz val="9"/>
            <color indexed="81"/>
            <rFont val="굴림"/>
            <family val="3"/>
          </rPr>
          <t xml:space="preserve"> 인사기록요약부분 직급명</t>
        </r>
        <r>
          <rPr>
            <sz val="9"/>
            <color indexed="81"/>
            <rFont val="굴림"/>
            <family val="3"/>
          </rPr>
          <t>이 증서에 표기됨</t>
        </r>
      </text>
    </comment>
    <comment ref="G4" authorId="0" shapeId="0" xr:uid="{4F84C992-2E3F-4CFE-8D00-DD008AD0D6FA}">
      <text>
        <r>
          <rPr>
            <sz val="9"/>
            <color indexed="81"/>
            <rFont val="굴림"/>
            <family val="3"/>
          </rPr>
          <t>추서자 :</t>
        </r>
        <r>
          <rPr>
            <b/>
            <sz val="9"/>
            <color indexed="81"/>
            <rFont val="굴림"/>
            <family val="3"/>
          </rPr>
          <t xml:space="preserve"> '추서'</t>
        </r>
        <r>
          <rPr>
            <sz val="9"/>
            <color indexed="81"/>
            <rFont val="굴림"/>
            <family val="3"/>
          </rPr>
          <t>로 표기
▶추서자는 국무총리 이상 시계 미지급</t>
        </r>
      </text>
    </comment>
    <comment ref="K4" authorId="0" shapeId="0" xr:uid="{73B0A886-AD95-4F74-A21E-574A7EA90A68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ㅇ황조근정훈장 : 40년이상
ㅇ홍조근정훈장 : 38년~39년     ㅇ 근정포장 : 30년~32년
ㅇ녹조근정훈장 : 36년~37년     ㅇ 대통령표창 : 28년~29년 
ㅇ옥조근정훈장 : 33년~35년     ㅇ 국무총리표창 : 25년~27년</t>
        </r>
      </text>
    </comment>
    <comment ref="M4" authorId="0" shapeId="0" xr:uid="{1C4812C9-2ED3-4B1B-B0BB-77B6544F6571}">
      <text>
        <r>
          <rPr>
            <sz val="9"/>
            <color indexed="81"/>
            <rFont val="굴림"/>
            <family val="3"/>
          </rPr>
          <t>ㅇ 상훈시스템에 재직기간 입력하면 자동계산됨
    (전체 합산 기간 입력)
   - 군복무 등 산입인정 퇴직일 합산(지침참조)
   ※ 주의-일수가 15일이상은 1월로 계산 
    예)</t>
        </r>
        <r>
          <rPr>
            <b/>
            <sz val="9"/>
            <color indexed="81"/>
            <rFont val="굴림"/>
            <family val="3"/>
          </rPr>
          <t xml:space="preserve"> 41년 05월 29일(ㅇ)</t>
        </r>
        <r>
          <rPr>
            <sz val="9"/>
            <color indexed="81"/>
            <rFont val="굴림"/>
            <family val="3"/>
          </rPr>
          <t xml:space="preserve"> : 상훈시스템 엑셀변환자료를 다운받아 입력 , 30-07-18(x), 00년-00월-00일(×),            73.02.01~10.08.31(×)</t>
        </r>
      </text>
    </comment>
    <comment ref="N4" authorId="1" shapeId="0" xr:uid="{2DADF533-9F37-4DDC-8200-F8DBB88C0C34}">
      <text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)20120229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-&gt;'-'</t>
        </r>
        <r>
          <rPr>
            <sz val="9"/>
            <color indexed="81"/>
            <rFont val="돋움"/>
            <family val="3"/>
            <charset val="129"/>
          </rPr>
          <t>빼고입력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 xml:space="preserve">자동기입됨)
</t>
        </r>
        <r>
          <rPr>
            <sz val="9"/>
            <color indexed="81"/>
            <rFont val="Tahoma"/>
            <family val="2"/>
          </rPr>
          <t>2012-02-29</t>
        </r>
        <r>
          <rPr>
            <sz val="9"/>
            <color indexed="81"/>
            <rFont val="돋움"/>
            <family val="3"/>
            <charset val="129"/>
          </rPr>
          <t xml:space="preserve">표기됨
</t>
        </r>
      </text>
    </comment>
    <comment ref="O4" authorId="0" shapeId="0" xr:uid="{3C75574C-C21F-4D0C-8BC8-608AF21ABB8E}">
      <text>
        <r>
          <rPr>
            <sz val="9"/>
            <color indexed="81"/>
            <rFont val="굴림"/>
            <family val="3"/>
          </rPr>
          <t>ㅇ해당없을시 : '무'
ㅇ해당있을시 예) 75.01.03~77.09.08</t>
        </r>
      </text>
    </comment>
    <comment ref="P4" authorId="1" shapeId="0" xr:uid="{56FFCBE4-19CE-49CD-9266-B22FEF4D3AB0}">
      <text>
        <r>
          <rPr>
            <sz val="9"/>
            <color indexed="81"/>
            <rFont val="돋움"/>
            <family val="3"/>
            <charset val="129"/>
          </rPr>
          <t xml:space="preserve">임용전군경력자 군번 기재
-인사기록카드 자료 부정확시 주민등록초본, </t>
        </r>
        <r>
          <rPr>
            <b/>
            <sz val="9"/>
            <color indexed="81"/>
            <rFont val="돋움"/>
            <family val="3"/>
            <charset val="129"/>
          </rPr>
          <t>병적증명서 첨부
▶방위, RNTC, 무관후보생경력등 확인용</t>
        </r>
        <r>
          <rPr>
            <sz val="9"/>
            <color indexed="81"/>
            <rFont val="돋움"/>
            <family val="3"/>
            <charset val="129"/>
          </rPr>
          <t>(사관학교, 1년미만 방위근무자 중 만기전역자 등 확인시 필요)</t>
        </r>
      </text>
    </comment>
    <comment ref="Q4" authorId="1" shapeId="0" xr:uid="{8CE83786-4C60-46C9-A75E-03B895589047}">
      <text>
        <r>
          <rPr>
            <sz val="10"/>
            <color indexed="81"/>
            <rFont val="돋움"/>
            <family val="3"/>
            <charset val="129"/>
          </rPr>
          <t xml:space="preserve">ㅇ임시교사경력이 있을 경우 공사립을 구분하여 
재직기간, 발령청(학교장 또는 교육감, 교육장 등) 기재
예) </t>
        </r>
        <r>
          <rPr>
            <b/>
            <sz val="10"/>
            <color indexed="81"/>
            <rFont val="돋움"/>
            <family val="3"/>
            <charset val="129"/>
          </rPr>
          <t>사립초임시교사 (77.03.0~78.02.28) -학교장발령</t>
        </r>
      </text>
    </comment>
    <comment ref="R4" authorId="1" shapeId="0" xr:uid="{3369F768-DD08-4869-9240-20F42A4AA858}">
      <text>
        <r>
          <rPr>
            <sz val="9"/>
            <color indexed="81"/>
            <rFont val="돋움"/>
            <family val="3"/>
            <charset val="129"/>
          </rPr>
          <t>ㅇ</t>
        </r>
        <r>
          <rPr>
            <b/>
            <sz val="9"/>
            <color indexed="81"/>
            <rFont val="돋움"/>
            <family val="3"/>
            <charset val="129"/>
          </rPr>
          <t>대학교 유급조교 경력</t>
        </r>
        <r>
          <rPr>
            <sz val="9"/>
            <color indexed="81"/>
            <rFont val="돋움"/>
            <family val="3"/>
            <charset val="129"/>
          </rPr>
          <t>이 있을시 학교명, 기간 기재
 - 유급조교 경력증명 필요
예) 서울대 조교(70.01.01~72.12.31)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 </t>
        </r>
      </text>
    </comment>
    <comment ref="S4" authorId="0" shapeId="0" xr:uid="{3D9760DC-1557-4469-9EEC-4698DBEC3FF8}">
      <text>
        <r>
          <rPr>
            <sz val="9"/>
            <color indexed="81"/>
            <rFont val="굴림"/>
            <family val="3"/>
          </rPr>
          <t>&lt;인사기록카드'임용전경력'부분,또는 경력증명서 등으로 증명할 수있는 재직기간에 포함되는 이전경력 기재, 교원외에 공무원 등&gt;
ㅇ해당없을시 : '무'
ㅇ해당있을시 예)
   서울시행정직 (75.01.03~77.09.08)
   소방공무원 (75.01.03~77.09.08)
▶현기관 임용전 경력중 재직기간에 포함되는 경력(어떤일을 했는지 알수있게 상세히 기재)
- 임시교사,기간제교사,전임강사(교육장발령) 등은 임시교사 경력란에 기재</t>
        </r>
      </text>
    </comment>
    <comment ref="T4" authorId="0" shapeId="0" xr:uid="{AB6EE7D0-5657-47C6-BB31-274DF986BE73}">
      <text>
        <r>
          <rPr>
            <sz val="9"/>
            <color indexed="81"/>
            <rFont val="굴림"/>
            <family val="3"/>
          </rPr>
          <t>ㅇ해당없을시 : '무'
ㅇ해당있을시 예)
   육아(75.01.03~77.09.08)
   고용(75.01.03~77.09.08)
   유학(75.01.03~77.09.08)
   공무상질병휴직 (공무상질병표기 확인)</t>
        </r>
      </text>
    </comment>
    <comment ref="U4" authorId="1" shapeId="0" xr:uid="{83AD3951-7C78-40A6-8B7F-D2D48913716D}">
      <text>
        <r>
          <rPr>
            <sz val="9"/>
            <color indexed="81"/>
            <rFont val="맑은 고딕"/>
            <family val="3"/>
            <charset val="129"/>
            <scheme val="minor"/>
          </rPr>
          <t>ㅇ해당없을시 : '무'
ㅇ해당있을시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 xml:space="preserve"> 처분, 사면일자 기재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 
예)  감봉3월(77.09.08)
      사면(81.01.31)
▶불문경고-말소,사면 추천가능
   그외 징계-사면 추천가능
   (상훈시스템에도 기재요망)</t>
        </r>
      </text>
    </comment>
    <comment ref="V4" authorId="1" shapeId="0" xr:uid="{DB388B4D-CDA2-45F6-9438-FFE0F7381656}">
      <text>
        <r>
          <rPr>
            <b/>
            <sz val="9"/>
            <color indexed="81"/>
            <rFont val="돋움"/>
            <family val="3"/>
            <charset val="129"/>
          </rPr>
          <t>교육공무원 징계양정등에 관한규칙 별표(징계양정기준)
'비위유형'에 따른 구분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1.성실의무 위반
2.복종의무 위반
3.직장이탈금지 위반
4.친절공정의무 위반
5.비밀엄수의무 위반
6.청렴의무 위반
7.품위유지의무 위반
8.영리업무 및 겸직금지의무 위반
9.정치운동 금지 위반
10.집단행위금지 위반 </t>
        </r>
        <r>
          <rPr>
            <b/>
            <sz val="9"/>
            <color indexed="81"/>
            <rFont val="돋움"/>
            <family val="3"/>
            <charset val="129"/>
          </rPr>
          <t xml:space="preserve">중 택1
(징계경력이 있는경우 
 모두 기재, 해당번호 기입)
</t>
        </r>
      </text>
    </comment>
    <comment ref="W4" authorId="1" shapeId="0" xr:uid="{21103409-62DD-458B-9EAB-87C620F7848C}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 xml:space="preserve">대비위여부를
</t>
        </r>
        <r>
          <rPr>
            <b/>
            <sz val="9"/>
            <color indexed="81"/>
            <rFont val="Tahoma"/>
            <family val="2"/>
          </rPr>
          <t xml:space="preserve"> O,X </t>
        </r>
        <r>
          <rPr>
            <b/>
            <sz val="9"/>
            <color indexed="81"/>
            <rFont val="돋움"/>
            <family val="3"/>
            <charset val="129"/>
          </rPr>
          <t>로표기</t>
        </r>
        <r>
          <rPr>
            <sz val="9"/>
            <color indexed="81"/>
            <rFont val="Tahoma"/>
            <family val="2"/>
          </rPr>
          <t xml:space="preserve">
(8</t>
        </r>
        <r>
          <rPr>
            <sz val="9"/>
            <color indexed="81"/>
            <rFont val="돋움"/>
            <family val="3"/>
            <charset val="129"/>
          </rPr>
          <t>대비위)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금품·향응수수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공금횡령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배임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음주운전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상습폭행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성폭행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성매매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성적조작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도박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>재산등록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공직자윤리법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위반</t>
        </r>
      </text>
    </comment>
    <comment ref="X4" authorId="1" shapeId="0" xr:uid="{94ADE38A-F675-4485-8613-2557F153CCF6}">
      <text>
        <r>
          <rPr>
            <sz val="9"/>
            <color indexed="81"/>
            <rFont val="맑은 고딕"/>
            <family val="3"/>
            <charset val="129"/>
            <scheme val="minor"/>
          </rPr>
          <t>ㅇ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징계처분의 구체적인 사유 기입
-</t>
        </r>
        <r>
          <rPr>
            <sz val="9"/>
            <color indexed="81"/>
            <rFont val="맑은 고딕"/>
            <family val="3"/>
            <charset val="129"/>
            <scheme val="minor"/>
          </rPr>
          <t>야간통금위반, 시험지 유출, 시설관리소홀, 수련업체 향응수수, 음주운전, 교실방화관리 소홀 등 
-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'국가공무원법56조 위반', '성실의무위반'등으로 기재하지 말것</t>
        </r>
      </text>
    </comment>
    <comment ref="Y4" authorId="1" shapeId="0" xr:uid="{32464B8F-13A2-4F6C-9447-E5A6B4E5AAA8}">
      <text>
        <r>
          <rPr>
            <sz val="9"/>
            <color indexed="81"/>
            <rFont val="돋움"/>
            <family val="3"/>
            <charset val="129"/>
          </rPr>
          <t>ㅇ</t>
        </r>
        <r>
          <rPr>
            <b/>
            <sz val="9"/>
            <color indexed="81"/>
            <rFont val="돋움"/>
            <family val="3"/>
            <charset val="129"/>
          </rPr>
          <t>경찰청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 내역 기입</t>
        </r>
        <r>
          <rPr>
            <sz val="9"/>
            <color indexed="81"/>
            <rFont val="돋움"/>
            <family val="3"/>
            <charset val="129"/>
          </rPr>
          <t xml:space="preserve">
   - 상훈시스템에도 기재
  예) 도로교통법위반
        벌금 150만원
        (09.01.25)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▶재직기간중 벌금200만원이상, 
   3회 이상시 추천제한</t>
        </r>
      </text>
    </comment>
    <comment ref="Z4" authorId="1" shapeId="0" xr:uid="{4EA25504-61B1-45E4-BE9E-BDE05F94D9A8}">
      <text>
        <r>
          <rPr>
            <sz val="10"/>
            <color indexed="81"/>
            <rFont val="돋움"/>
            <family val="3"/>
            <charset val="129"/>
          </rPr>
          <t>ㅇ추천훈격에 따라
 - (</t>
        </r>
        <r>
          <rPr>
            <b/>
            <sz val="10"/>
            <color indexed="81"/>
            <rFont val="돋움"/>
            <family val="3"/>
            <charset val="129"/>
          </rPr>
          <t>국무총리표창 이상</t>
        </r>
        <r>
          <rPr>
            <sz val="10"/>
            <color indexed="81"/>
            <rFont val="돋움"/>
            <family val="3"/>
            <charset val="129"/>
          </rPr>
          <t>) 훈장, 포장, 대통령표창, 국무총리표창 등  필수기재
 - (</t>
        </r>
        <r>
          <rPr>
            <b/>
            <sz val="10"/>
            <color indexed="81"/>
            <rFont val="돋움"/>
            <family val="3"/>
            <charset val="129"/>
          </rPr>
          <t>장관표창 이하</t>
        </r>
        <r>
          <rPr>
            <sz val="10"/>
            <color indexed="81"/>
            <rFont val="돋움"/>
            <family val="3"/>
            <charset val="129"/>
          </rPr>
          <t>) 장관표창, 교육감표창 등 선택기재 (가장 최근 1건만 기재)</t>
        </r>
      </text>
    </comment>
    <comment ref="AA4" authorId="1" shapeId="0" xr:uid="{E6FB61AD-CE36-43E2-9D21-71379E17B743}">
      <text>
        <r>
          <rPr>
            <sz val="9"/>
            <color indexed="81"/>
            <rFont val="돋움"/>
            <family val="3"/>
            <charset val="129"/>
          </rPr>
          <t>ㅇ재직기간에 검토가  필요한 경우 및 특이경력 기재
-앞에 기재되지 않은 사항 중 검토가 필요한 경우 기재</t>
        </r>
      </text>
    </comment>
    <comment ref="AB4" authorId="1" shapeId="0" xr:uid="{74931442-B0B1-4534-AD09-7EF50A331C09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ㅇ 인사기록카드 필수
ㅇ 그 외 경력증빙서류 기재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 - 수기인사카드, 발령대장 사본
  - 주민등록초본(병역)or병적증명서
  - 경력증명서(공무원, 임시교사(전임강사), 유급조교 등)
  - 공무원연금납입증명서 등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재직기간을 확인한 증빙서류 모두 기재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기타 증빙서류는 인사기록카드 제출시 모두 첨부하여 제출</t>
        </r>
      </text>
    </comment>
    <comment ref="AD4" authorId="1" shapeId="0" xr:uid="{54821FBC-B203-48DB-A28E-68B5F59CB571}">
      <text>
        <r>
          <rPr>
            <b/>
            <sz val="9"/>
            <color indexed="81"/>
            <rFont val="돋움"/>
            <family val="3"/>
            <charset val="129"/>
          </rPr>
          <t xml:space="preserve">실재 인사카드, 경력증명서 대조자 및 상훈시스템 입력자 기재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(해당과장 등이 아니라 실무자 기재)</t>
        </r>
      </text>
    </comment>
    <comment ref="AE4" authorId="1" shapeId="0" xr:uid="{A322E5FD-6D32-4F44-A22B-5EE98190D5E4}">
      <text>
        <r>
          <rPr>
            <b/>
            <sz val="9"/>
            <color indexed="81"/>
            <rFont val="돋움"/>
            <family val="3"/>
            <charset val="129"/>
          </rPr>
          <t xml:space="preserve">지역청포상 담당자 기재
(인사기록 대조자 등)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1" authorId="0" shapeId="0" xr:uid="{C8ED373A-19BD-49CD-AB4E-9FAAF2056536}">
      <text>
        <r>
          <rPr>
            <b/>
            <sz val="10"/>
            <color indexed="10"/>
            <rFont val="맑은 고딕"/>
            <family val="3"/>
            <charset val="129"/>
          </rPr>
          <t>한자 반드시 작성</t>
        </r>
      </text>
    </comment>
    <comment ref="E12" authorId="0" shapeId="0" xr:uid="{EFE00911-9A70-47F4-ACD7-8CE039446382}">
      <text>
        <r>
          <rPr>
            <b/>
            <sz val="10"/>
            <color indexed="10"/>
            <rFont val="맑은 고딕"/>
            <family val="3"/>
            <charset val="129"/>
          </rPr>
          <t>군필자는 반드시 작성 : 주민등록초본 or 병역증명서 상 군번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(미필자는 비움)</t>
        </r>
      </text>
    </comment>
    <comment ref="E18" authorId="0" shapeId="0" xr:uid="{CE7FCD64-0185-4221-AB03-43FF4E50BA62}">
      <text>
        <r>
          <rPr>
            <b/>
            <sz val="10"/>
            <color indexed="10"/>
            <rFont val="맑은 고딕"/>
            <family val="3"/>
            <charset val="129"/>
          </rPr>
          <t>!! 주소 입력 금지 !!
실제 상훈증서에 기재될 기관명을 작성하는 곳임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(주소는 소속이 없는 개인의 경우에만 작성함)</t>
        </r>
      </text>
    </comment>
    <comment ref="C23" authorId="0" shapeId="0" xr:uid="{800FAE08-DF80-492A-A829-DCBA025D859B}">
      <text>
        <r>
          <rPr>
            <b/>
            <sz val="10"/>
            <color indexed="81"/>
            <rFont val="맑은 고딕"/>
            <family val="3"/>
            <charset val="129"/>
          </rPr>
          <t xml:space="preserve">모든 재직기간 산정이 완료된 후
재직 연도에 맞추어 추천훈격 입력
</t>
        </r>
        <r>
          <rPr>
            <b/>
            <sz val="10"/>
            <color indexed="10"/>
            <rFont val="맑은 고딕"/>
            <family val="3"/>
            <charset val="129"/>
          </rPr>
          <t>※ 변경 불가능하므로 철저히 확인</t>
        </r>
        <r>
          <rPr>
            <b/>
            <sz val="10"/>
            <color indexed="12"/>
            <rFont val="맑은 고딕"/>
            <family val="3"/>
            <charset val="129"/>
          </rPr>
          <t xml:space="preserve">
</t>
        </r>
        <r>
          <rPr>
            <b/>
            <sz val="10"/>
            <color indexed="81"/>
            <rFont val="맑은 고딕"/>
            <family val="3"/>
            <charset val="129"/>
          </rPr>
          <t xml:space="preserve">(예) 37년 11월 10일 → 37년으로 </t>
        </r>
        <r>
          <rPr>
            <b/>
            <sz val="10"/>
            <color indexed="12"/>
            <rFont val="맑은 고딕"/>
            <family val="3"/>
            <charset val="129"/>
          </rPr>
          <t>녹조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(예) 37년 11월 15일 → 38년으로 </t>
        </r>
        <r>
          <rPr>
            <b/>
            <sz val="10"/>
            <color indexed="12"/>
            <rFont val="맑은 고딕"/>
            <family val="3"/>
            <charset val="129"/>
          </rPr>
          <t>홍조</t>
        </r>
      </text>
    </comment>
    <comment ref="E24" authorId="0" shapeId="0" xr:uid="{0BF009E1-62CA-4A51-8F74-BB53E382B7CC}">
      <text>
        <r>
          <rPr>
            <b/>
            <sz val="10"/>
            <color indexed="81"/>
            <rFont val="맑은 고딕"/>
            <family val="3"/>
            <charset val="129"/>
          </rPr>
          <t xml:space="preserve">한글파일 등에서 작성 후
</t>
        </r>
        <r>
          <rPr>
            <b/>
            <sz val="10"/>
            <color indexed="10"/>
            <rFont val="맑은 고딕"/>
            <family val="3"/>
            <charset val="129"/>
          </rPr>
          <t>상훈포털 홈페이지 입력란</t>
        </r>
        <r>
          <rPr>
            <b/>
            <sz val="10"/>
            <color indexed="81"/>
            <rFont val="맑은 고딕"/>
            <family val="3"/>
            <charset val="129"/>
          </rPr>
          <t>에
(복사-붙여넣기) 할 것</t>
        </r>
      </text>
    </comment>
    <comment ref="C25" authorId="0" shapeId="0" xr:uid="{CB92EC1F-E6C9-40F2-808D-4E4862610323}">
      <text>
        <r>
          <rPr>
            <b/>
            <sz val="10"/>
            <color indexed="10"/>
            <rFont val="맑은 고딕"/>
            <family val="3"/>
            <charset val="129"/>
          </rPr>
          <t>※ 공적요지는 국무회의 의결시 제출되므로 부적격한 내용 제출시 반려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&lt;사용 금지 표현&gt;
위 사람은, 대상자는, 상기자는, 수공인, 유공인, 공적인, 해당·본 공무원, 피추천인, 본직은, 본인은, 위 직은, 위 분은, 공직자, 실명 및 재직기간, 불필요한 기호, '투철한 공직관~', '사명감~' 등 수식어</t>
        </r>
      </text>
    </comment>
    <comment ref="E26" authorId="0" shapeId="0" xr:uid="{8D96694A-B970-4DCA-90BC-A436503FEFC0}">
      <text>
        <r>
          <rPr>
            <b/>
            <sz val="10"/>
            <color indexed="81"/>
            <rFont val="맑은 고딕"/>
            <family val="3"/>
            <charset val="129"/>
          </rPr>
          <t xml:space="preserve">포상 추천 대상자가
</t>
        </r>
        <r>
          <rPr>
            <b/>
            <sz val="10"/>
            <color indexed="10"/>
            <rFont val="맑은 고딕"/>
            <family val="3"/>
            <charset val="129"/>
          </rPr>
          <t>교장 및 교감 본인인 경우에도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조사자는 학교의 인사담당자인 교감,
확인자는 학교의 기관장인 교장으로
작성할 것</t>
        </r>
      </text>
    </comment>
    <comment ref="C42" authorId="0" shapeId="0" xr:uid="{CDE02FAD-3310-4816-8DFD-950DFAC065BC}">
      <text>
        <r>
          <rPr>
            <b/>
            <sz val="10"/>
            <color indexed="81"/>
            <rFont val="맑은 고딕"/>
            <family val="3"/>
            <charset val="129"/>
          </rPr>
          <t>추천제한사항이 없는지 반드시
대상자 본인에게 확인 후 입력</t>
        </r>
      </text>
    </comment>
    <comment ref="C53" authorId="0" shapeId="0" xr:uid="{A1A0C837-A95F-4D0A-AC14-443A47149BDE}">
      <text>
        <r>
          <rPr>
            <b/>
            <u val="double"/>
            <sz val="11"/>
            <color indexed="10"/>
            <rFont val="돋움"/>
            <family val="3"/>
            <charset val="129"/>
          </rPr>
          <t>!! 아래 내용 선택 금지 !!</t>
        </r>
        <r>
          <rPr>
            <b/>
            <sz val="9"/>
            <color indexed="81"/>
            <rFont val="돋움"/>
            <family val="3"/>
            <charset val="129"/>
          </rPr>
          <t xml:space="preserve">
- 교사(교정직렬) </t>
        </r>
        <r>
          <rPr>
            <b/>
            <sz val="9"/>
            <color indexed="10"/>
            <rFont val="돋움"/>
            <family val="3"/>
            <charset val="129"/>
          </rPr>
          <t>(X)</t>
        </r>
        <r>
          <rPr>
            <b/>
            <sz val="9"/>
            <color indexed="81"/>
            <rFont val="돋움"/>
            <family val="3"/>
            <charset val="129"/>
          </rPr>
          <t xml:space="preserve">
- 특수학교교사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>특수학교교장/교감</t>
        </r>
        <r>
          <rPr>
            <b/>
            <sz val="9"/>
            <color indexed="10"/>
            <rFont val="돋움"/>
            <family val="3"/>
            <charset val="129"/>
          </rPr>
          <t xml:space="preserve"> (X)</t>
        </r>
        <r>
          <rPr>
            <b/>
            <sz val="9"/>
            <color indexed="81"/>
            <rFont val="돋움"/>
            <family val="3"/>
            <charset val="129"/>
          </rPr>
          <t xml:space="preserve">
- 유치원교사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>유치원원장/원감</t>
        </r>
        <r>
          <rPr>
            <b/>
            <sz val="9"/>
            <color indexed="10"/>
            <rFont val="돋움"/>
            <family val="3"/>
            <charset val="129"/>
          </rPr>
          <t xml:space="preserve"> (X)</t>
        </r>
        <r>
          <rPr>
            <b/>
            <sz val="9"/>
            <color indexed="81"/>
            <rFont val="돋움"/>
            <family val="3"/>
            <charset val="129"/>
          </rPr>
          <t xml:space="preserve">
- 초등학교교사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>초등학교교장/교감</t>
        </r>
        <r>
          <rPr>
            <b/>
            <sz val="9"/>
            <color indexed="10"/>
            <rFont val="돋움"/>
            <family val="3"/>
            <charset val="129"/>
          </rPr>
          <t xml:space="preserve"> (X)
</t>
        </r>
        <r>
          <rPr>
            <b/>
            <sz val="9"/>
            <color indexed="81"/>
            <rFont val="돋움"/>
            <family val="3"/>
            <charset val="129"/>
          </rPr>
          <t xml:space="preserve">- 중고등학교교사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>중고등학교교장/교감</t>
        </r>
        <r>
          <rPr>
            <b/>
            <sz val="9"/>
            <color indexed="10"/>
            <rFont val="돋움"/>
            <family val="3"/>
            <charset val="129"/>
          </rPr>
          <t xml:space="preserve"> (X)</t>
        </r>
        <r>
          <rPr>
            <b/>
            <sz val="9"/>
            <color indexed="81"/>
            <rFont val="돋움"/>
            <family val="3"/>
            <charset val="129"/>
          </rPr>
          <t xml:space="preserve">
- 특수훈련교사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 xml:space="preserve">직업훈련교사 </t>
        </r>
        <r>
          <rPr>
            <b/>
            <sz val="9"/>
            <color indexed="10"/>
            <rFont val="돋움"/>
            <family val="3"/>
            <charset val="129"/>
          </rPr>
          <t>(X)</t>
        </r>
        <r>
          <rPr>
            <b/>
            <sz val="9"/>
            <color indexed="81"/>
            <rFont val="돋움"/>
            <family val="3"/>
            <charset val="129"/>
          </rPr>
          <t xml:space="preserve">
- 보건교사, 영양교사 </t>
        </r>
        <r>
          <rPr>
            <b/>
            <sz val="9"/>
            <color indexed="10"/>
            <rFont val="돋움"/>
            <family val="3"/>
            <charset val="129"/>
          </rPr>
          <t>(X)</t>
        </r>
        <r>
          <rPr>
            <b/>
            <sz val="9"/>
            <color indexed="81"/>
            <rFont val="돋움"/>
            <family val="3"/>
            <charset val="129"/>
          </rPr>
          <t xml:space="preserve">
- 전문상담교사, 사서교사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
</t>
        </r>
        <r>
          <rPr>
            <b/>
            <u val="double"/>
            <sz val="11"/>
            <color indexed="10"/>
            <rFont val="돋움"/>
            <family val="3"/>
            <charset val="129"/>
          </rPr>
          <t>!! 원로교사는 '교사'로 선택 !!</t>
        </r>
      </text>
    </comment>
    <comment ref="B74" authorId="0" shapeId="0" xr:uid="{D880BC98-4023-4512-B71A-B9BC534C1838}">
      <text>
        <r>
          <rPr>
            <b/>
            <sz val="9"/>
            <color indexed="81"/>
            <rFont val="돋움"/>
            <family val="3"/>
            <charset val="129"/>
          </rPr>
          <t>퇴직일의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전일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함★</t>
        </r>
      </text>
    </comment>
    <comment ref="E78" authorId="0" shapeId="0" xr:uid="{CC8C0F02-19EE-4FDC-9BD3-6851229DC332}">
      <text>
        <r>
          <rPr>
            <b/>
            <sz val="10"/>
            <color indexed="81"/>
            <rFont val="맑은 고딕"/>
            <family val="3"/>
            <charset val="129"/>
          </rPr>
          <t xml:space="preserve">(예) 37년 11월 10일 → 37년으로 </t>
        </r>
        <r>
          <rPr>
            <b/>
            <sz val="10"/>
            <color indexed="12"/>
            <rFont val="맑은 고딕"/>
            <family val="3"/>
            <charset val="129"/>
          </rPr>
          <t>녹조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(예) 37년 11월 15일 → 38년으로 </t>
        </r>
        <r>
          <rPr>
            <b/>
            <sz val="10"/>
            <color indexed="12"/>
            <rFont val="맑은 고딕"/>
            <family val="3"/>
            <charset val="129"/>
          </rPr>
          <t>홍조</t>
        </r>
      </text>
    </comment>
  </commentList>
</comments>
</file>

<file path=xl/sharedStrings.xml><?xml version="1.0" encoding="utf-8"?>
<sst xmlns="http://schemas.openxmlformats.org/spreadsheetml/2006/main" count="462" uniqueCount="332">
  <si>
    <t>[대한민국 상훈 홈페이지]</t>
    <phoneticPr fontId="3" type="noConversion"/>
  </si>
  <si>
    <t>● 인적사항</t>
    <phoneticPr fontId="10" type="noConversion"/>
  </si>
  <si>
    <t>개인단체구분</t>
    <phoneticPr fontId="10" type="noConversion"/>
  </si>
  <si>
    <t>개인</t>
    <phoneticPr fontId="10" type="noConversion"/>
  </si>
  <si>
    <t>국적</t>
    <phoneticPr fontId="10" type="noConversion"/>
  </si>
  <si>
    <t>대한민국</t>
    <phoneticPr fontId="10" type="noConversion"/>
  </si>
  <si>
    <t>성명/단체명</t>
    <phoneticPr fontId="10" type="noConversion"/>
  </si>
  <si>
    <t>한자(외국인은 영문)</t>
    <phoneticPr fontId="10" type="noConversion"/>
  </si>
  <si>
    <t>주민번호</t>
    <phoneticPr fontId="10" type="noConversion"/>
  </si>
  <si>
    <t>군번(군인)·순번(군무원)</t>
    <phoneticPr fontId="10" type="noConversion"/>
  </si>
  <si>
    <t>군필자는 반드시 작성 (미필자는 비움)</t>
    <phoneticPr fontId="10" type="noConversion"/>
  </si>
  <si>
    <t>생년월일</t>
    <phoneticPr fontId="10" type="noConversion"/>
  </si>
  <si>
    <t>성별</t>
    <phoneticPr fontId="10" type="noConversion"/>
  </si>
  <si>
    <t>사망여부</t>
    <phoneticPr fontId="10" type="noConversion"/>
  </si>
  <si>
    <t>재직/수공기간</t>
    <phoneticPr fontId="10" type="noConversion"/>
  </si>
  <si>
    <t>자동입력되므로 입력금지</t>
    <phoneticPr fontId="10" type="noConversion"/>
  </si>
  <si>
    <t>주소(새주소)</t>
    <phoneticPr fontId="10" type="noConversion"/>
  </si>
  <si>
    <t>상세주소(새주소)</t>
    <phoneticPr fontId="3" type="noConversion"/>
  </si>
  <si>
    <t>소속</t>
    <phoneticPr fontId="10" type="noConversion"/>
  </si>
  <si>
    <t>(예시) 인천광역시교육청 인천광역시OO교육지원청 인천OO초등학교</t>
    <phoneticPr fontId="3" type="noConversion"/>
  </si>
  <si>
    <t>소속(증서용)</t>
    <phoneticPr fontId="10" type="noConversion"/>
  </si>
  <si>
    <t>직업</t>
    <phoneticPr fontId="10" type="noConversion"/>
  </si>
  <si>
    <t>직위</t>
    <phoneticPr fontId="10" type="noConversion"/>
  </si>
  <si>
    <t>교사</t>
  </si>
  <si>
    <t>● 공적사항</t>
    <phoneticPr fontId="10" type="noConversion"/>
  </si>
  <si>
    <t>포상명</t>
    <phoneticPr fontId="10" type="noConversion"/>
  </si>
  <si>
    <t>작성기관</t>
    <phoneticPr fontId="10" type="noConversion"/>
  </si>
  <si>
    <t>자동입력</t>
    <phoneticPr fontId="10" type="noConversion"/>
  </si>
  <si>
    <t>추천훈격</t>
    <phoneticPr fontId="10" type="noConversion"/>
  </si>
  <si>
    <t>추천순위</t>
    <phoneticPr fontId="10" type="noConversion"/>
  </si>
  <si>
    <t>자동입력 (제출순번이므로 숫자 무시할 것)</t>
    <phoneticPr fontId="10" type="noConversion"/>
  </si>
  <si>
    <t>공적분야</t>
    <phoneticPr fontId="10" type="noConversion"/>
  </si>
  <si>
    <t>교육</t>
    <phoneticPr fontId="10" type="noConversion"/>
  </si>
  <si>
    <t>공적내용</t>
    <phoneticPr fontId="10" type="noConversion"/>
  </si>
  <si>
    <t>공적요지</t>
    <phoneticPr fontId="10" type="noConversion"/>
  </si>
  <si>
    <t>공적사항조사자</t>
    <phoneticPr fontId="10" type="noConversion"/>
  </si>
  <si>
    <t>학교-교감 / 기관-인사담당자</t>
    <phoneticPr fontId="10" type="noConversion"/>
  </si>
  <si>
    <t>조사자직위</t>
    <phoneticPr fontId="10" type="noConversion"/>
  </si>
  <si>
    <t>조사자소속</t>
    <phoneticPr fontId="10" type="noConversion"/>
  </si>
  <si>
    <t>입력</t>
    <phoneticPr fontId="10" type="noConversion"/>
  </si>
  <si>
    <t>조사자 직급 또는 계급</t>
    <phoneticPr fontId="10" type="noConversion"/>
  </si>
  <si>
    <t>● 인사기록 요약서</t>
    <phoneticPr fontId="10" type="noConversion"/>
  </si>
  <si>
    <t>작성자</t>
    <phoneticPr fontId="10" type="noConversion"/>
  </si>
  <si>
    <t>확인자</t>
    <phoneticPr fontId="10" type="noConversion"/>
  </si>
  <si>
    <t>학교-교장 / 기관-총무·인사 팀장or과장</t>
    <phoneticPr fontId="10" type="noConversion"/>
  </si>
  <si>
    <t>작성자소속</t>
    <phoneticPr fontId="10" type="noConversion"/>
  </si>
  <si>
    <t>확인자소속</t>
    <phoneticPr fontId="10" type="noConversion"/>
  </si>
  <si>
    <t>작성자직급</t>
    <phoneticPr fontId="10" type="noConversion"/>
  </si>
  <si>
    <t>확인자직급</t>
    <phoneticPr fontId="10" type="noConversion"/>
  </si>
  <si>
    <t>● 정부포상 추천자 현황</t>
    <phoneticPr fontId="10" type="noConversion"/>
  </si>
  <si>
    <t>● 추천제한사항</t>
    <phoneticPr fontId="10" type="noConversion"/>
  </si>
  <si>
    <r>
      <rPr>
        <b/>
        <sz val="11"/>
        <color rgb="FF0000FF"/>
        <rFont val="맑은 고딕"/>
        <family val="3"/>
        <charset val="129"/>
        <scheme val="minor"/>
      </rPr>
      <t>[V]</t>
    </r>
    <r>
      <rPr>
        <b/>
        <sz val="11"/>
        <color theme="1"/>
        <rFont val="맑은 고딕"/>
        <family val="3"/>
        <charset val="129"/>
        <scheme val="minor"/>
      </rPr>
      <t xml:space="preserve"> 추천제한사항 모두 해당없음 </t>
    </r>
    <r>
      <rPr>
        <b/>
        <sz val="11"/>
        <color rgb="FF0000FF"/>
        <rFont val="맑은 고딕"/>
        <family val="3"/>
        <charset val="129"/>
        <scheme val="minor"/>
      </rPr>
      <t>[저장]</t>
    </r>
    <phoneticPr fontId="3" type="noConversion"/>
  </si>
  <si>
    <t>형사처벌</t>
    <phoneticPr fontId="10" type="noConversion"/>
  </si>
  <si>
    <t>징계</t>
    <phoneticPr fontId="10" type="noConversion"/>
  </si>
  <si>
    <t>산업재해</t>
    <phoneticPr fontId="10" type="noConversion"/>
  </si>
  <si>
    <t>공정거래 위반</t>
    <phoneticPr fontId="10" type="noConversion"/>
  </si>
  <si>
    <t>임금체불</t>
    <phoneticPr fontId="10" type="noConversion"/>
  </si>
  <si>
    <t>세금체납</t>
    <phoneticPr fontId="10" type="noConversion"/>
  </si>
  <si>
    <t>사회적 물의</t>
    <phoneticPr fontId="10" type="noConversion"/>
  </si>
  <si>
    <t>● 공무원/사립인사기록</t>
    <phoneticPr fontId="10" type="noConversion"/>
  </si>
  <si>
    <t>공무원구분</t>
    <phoneticPr fontId="10" type="noConversion"/>
  </si>
  <si>
    <t>직급명(증서기재용)</t>
    <phoneticPr fontId="3" type="noConversion"/>
  </si>
  <si>
    <t>재직/퇴직</t>
    <phoneticPr fontId="3" type="noConversion"/>
  </si>
  <si>
    <t>현직급승진일</t>
    <phoneticPr fontId="3" type="noConversion"/>
  </si>
  <si>
    <t>퇴직일</t>
    <phoneticPr fontId="3" type="noConversion"/>
  </si>
  <si>
    <t>재직/휴직 구분</t>
    <phoneticPr fontId="10" type="noConversion"/>
  </si>
  <si>
    <t>● 경력사항</t>
    <phoneticPr fontId="10" type="noConversion"/>
  </si>
  <si>
    <t>시작년월</t>
    <phoneticPr fontId="10" type="noConversion"/>
  </si>
  <si>
    <t>종료년월</t>
    <phoneticPr fontId="10" type="noConversion"/>
  </si>
  <si>
    <t>이력사항</t>
    <phoneticPr fontId="10" type="noConversion"/>
  </si>
  <si>
    <t>관리</t>
    <phoneticPr fontId="10" type="noConversion"/>
  </si>
  <si>
    <t>(예시) 1993-03</t>
    <phoneticPr fontId="3" type="noConversion"/>
  </si>
  <si>
    <t>● 과거포상기록</t>
    <phoneticPr fontId="10" type="noConversion"/>
  </si>
  <si>
    <t>포상일자</t>
    <phoneticPr fontId="10" type="noConversion"/>
  </si>
  <si>
    <t>내용(포상명)</t>
    <phoneticPr fontId="10" type="noConversion"/>
  </si>
  <si>
    <t>(예시) 2020-12-31</t>
    <phoneticPr fontId="3" type="noConversion"/>
  </si>
  <si>
    <t>OOO유공 국무총리표창 / 대통령표창 / 훈장</t>
    <phoneticPr fontId="3" type="noConversion"/>
  </si>
  <si>
    <t>(예시) 2022-05-15</t>
    <phoneticPr fontId="3" type="noConversion"/>
  </si>
  <si>
    <t>(예시) 2023-06-30</t>
    <phoneticPr fontId="3" type="noConversion"/>
  </si>
  <si>
    <t>질병휴직(공무상)</t>
    <phoneticPr fontId="10" type="noConversion"/>
  </si>
  <si>
    <t>(예시)</t>
    <phoneticPr fontId="1" type="noConversion"/>
  </si>
  <si>
    <t>OOO학교 외 8교 근무</t>
    <phoneticPr fontId="3" type="noConversion"/>
  </si>
  <si>
    <t>(예시) 2026-08</t>
    <phoneticPr fontId="3" type="noConversion"/>
  </si>
  <si>
    <t>(예시) 2021-03-20</t>
    <phoneticPr fontId="3" type="noConversion"/>
  </si>
  <si>
    <t>OOO유공 OO특별·광역·도지사 표창</t>
    <phoneticPr fontId="1" type="noConversion"/>
  </si>
  <si>
    <t>초등학교</t>
  </si>
  <si>
    <t>순번</t>
    <phoneticPr fontId="10" type="noConversion"/>
  </si>
  <si>
    <t>추천
기관</t>
    <phoneticPr fontId="10" type="noConversion"/>
  </si>
  <si>
    <t>기관명</t>
    <phoneticPr fontId="10" type="noConversion"/>
  </si>
  <si>
    <t>학교급</t>
    <phoneticPr fontId="10" type="noConversion"/>
  </si>
  <si>
    <t>설립
구분</t>
    <phoneticPr fontId="10" type="noConversion"/>
  </si>
  <si>
    <t>직급</t>
    <phoneticPr fontId="10" type="noConversion"/>
  </si>
  <si>
    <t>사망자
(추서)</t>
    <phoneticPr fontId="10" type="noConversion"/>
  </si>
  <si>
    <t>성명</t>
    <phoneticPr fontId="10" type="noConversion"/>
  </si>
  <si>
    <t>퇴직구분</t>
    <phoneticPr fontId="10" type="noConversion"/>
  </si>
  <si>
    <t>재직기간</t>
  </si>
  <si>
    <t>퇴직일</t>
    <phoneticPr fontId="10" type="noConversion"/>
  </si>
  <si>
    <t>임용전
군경력
(기간)</t>
    <phoneticPr fontId="10" type="noConversion"/>
  </si>
  <si>
    <r>
      <t xml:space="preserve">군번
</t>
    </r>
    <r>
      <rPr>
        <b/>
        <sz val="9"/>
        <color indexed="12"/>
        <rFont val="맑은 고딕"/>
        <family val="3"/>
        <charset val="129"/>
        <scheme val="minor"/>
      </rPr>
      <t>(임용전군경력만 해당)</t>
    </r>
    <phoneticPr fontId="10" type="noConversion"/>
  </si>
  <si>
    <t>임시교사경력
(기간,발령청)</t>
    <phoneticPr fontId="10" type="noConversion"/>
  </si>
  <si>
    <t>유급
조교경력
(기간)</t>
    <phoneticPr fontId="10" type="noConversion"/>
  </si>
  <si>
    <t>임용전근무경력
(종류,기간)</t>
    <phoneticPr fontId="10" type="noConversion"/>
  </si>
  <si>
    <t>휴직
(종류,기간)</t>
    <phoneticPr fontId="10" type="noConversion"/>
  </si>
  <si>
    <t>징계
(연도,종류,
사면,말소)</t>
    <phoneticPr fontId="10" type="noConversion"/>
  </si>
  <si>
    <t>징계
(비위유형)</t>
    <phoneticPr fontId="10" type="noConversion"/>
  </si>
  <si>
    <t>징계
(8대비위 여부
O,X)</t>
    <phoneticPr fontId="10" type="noConversion"/>
  </si>
  <si>
    <t>징계
(구체적
처분사유)</t>
    <phoneticPr fontId="10" type="noConversion"/>
  </si>
  <si>
    <t>범죄경력 
물의야기
(일시,내용)</t>
    <phoneticPr fontId="10" type="noConversion"/>
  </si>
  <si>
    <r>
      <t xml:space="preserve">(기)포상내역
</t>
    </r>
    <r>
      <rPr>
        <b/>
        <sz val="9"/>
        <color indexed="10"/>
        <rFont val="맑은 고딕"/>
        <family val="3"/>
        <charset val="129"/>
        <scheme val="minor"/>
      </rPr>
      <t>*상훈포털시스템
반드시 입력</t>
    </r>
    <phoneticPr fontId="10" type="noConversion"/>
  </si>
  <si>
    <t>재직기간산정
특이경력기재</t>
    <phoneticPr fontId="10" type="noConversion"/>
  </si>
  <si>
    <t>재직기간증빙
확인서류</t>
    <phoneticPr fontId="10" type="noConversion"/>
  </si>
  <si>
    <t>작성자(학교)
기관명/직급/성명/연락처</t>
    <phoneticPr fontId="10" type="noConversion"/>
  </si>
  <si>
    <t>확인자
(지역청 등)
기관명/직급/성명/연락처</t>
    <phoneticPr fontId="10" type="noConversion"/>
  </si>
  <si>
    <t>확인자
(시도교육청,본부)
기관명/직급/성명/연락처</t>
    <phoneticPr fontId="10" type="noConversion"/>
  </si>
  <si>
    <t>고등학교</t>
  </si>
  <si>
    <t>공립</t>
    <phoneticPr fontId="10" type="noConversion"/>
  </si>
  <si>
    <t>여</t>
  </si>
  <si>
    <t>무</t>
  </si>
  <si>
    <t>교장</t>
  </si>
  <si>
    <t>남</t>
  </si>
  <si>
    <t>황조근정훈장</t>
  </si>
  <si>
    <t>인사기록카드</t>
    <phoneticPr fontId="10" type="noConversion"/>
  </si>
  <si>
    <t>사립</t>
    <phoneticPr fontId="10" type="noConversion"/>
  </si>
  <si>
    <t>홍조근정훈장</t>
  </si>
  <si>
    <t>정년퇴직</t>
  </si>
  <si>
    <t>폭력행위 등, 
벌금 50만원
(07.10.24)</t>
    <phoneticPr fontId="10" type="noConversion"/>
  </si>
  <si>
    <t>무</t>
    <phoneticPr fontId="10" type="noConversion"/>
  </si>
  <si>
    <t>인사기록카드 
경력증명서 3부
주민등록초본 1부</t>
    <phoneticPr fontId="10" type="noConversion"/>
  </si>
  <si>
    <t>중학교</t>
  </si>
  <si>
    <t>인사기록카드 1부</t>
    <phoneticPr fontId="10" type="noConversion"/>
  </si>
  <si>
    <t>인사기록카드
경력증명서 5부</t>
    <phoneticPr fontId="10" type="noConversion"/>
  </si>
  <si>
    <t>녹조근정훈장</t>
  </si>
  <si>
    <t>인사기록카드 1부
경력증명서 3부</t>
    <phoneticPr fontId="10" type="noConversion"/>
  </si>
  <si>
    <r>
      <t xml:space="preserve">※ </t>
    </r>
    <r>
      <rPr>
        <b/>
        <u/>
        <sz val="12"/>
        <color rgb="FF0000FF"/>
        <rFont val="맑은 고딕"/>
        <family val="3"/>
        <charset val="129"/>
        <scheme val="minor"/>
      </rPr>
      <t>시교육청 기관총괄관리자, 교육부담당자에게 제출하는 것이 아님 !!</t>
    </r>
    <r>
      <rPr>
        <b/>
        <sz val="12"/>
        <color rgb="FF0000FF"/>
        <rFont val="맑은 고딕"/>
        <family val="3"/>
        <charset val="129"/>
        <scheme val="minor"/>
      </rPr>
      <t xml:space="preserve"> 잘못 제출하여 포상 미제출 처리로 인한 불이익이 발생하지 않도록 유의</t>
    </r>
    <phoneticPr fontId="3" type="noConversion"/>
  </si>
  <si>
    <t>유치원</t>
  </si>
  <si>
    <t>인천</t>
  </si>
  <si>
    <t>인천OO유치원</t>
    <phoneticPr fontId="10" type="noConversion"/>
  </si>
  <si>
    <t>인천OO초등학교</t>
    <phoneticPr fontId="10" type="noConversion"/>
  </si>
  <si>
    <t>OOO중학교</t>
    <phoneticPr fontId="10" type="noConversion"/>
  </si>
  <si>
    <t>인천OO고등학교</t>
    <phoneticPr fontId="10" type="noConversion"/>
  </si>
  <si>
    <t>인천광역시OO교육지원청</t>
    <phoneticPr fontId="10" type="noConversion"/>
  </si>
  <si>
    <t>인천OO학교</t>
    <phoneticPr fontId="10" type="noConversion"/>
  </si>
  <si>
    <t>특수학교</t>
  </si>
  <si>
    <t>교육청등</t>
  </si>
  <si>
    <t>사립</t>
  </si>
  <si>
    <t>공립</t>
  </si>
  <si>
    <t>원감</t>
  </si>
  <si>
    <t>교감</t>
  </si>
  <si>
    <t>수석교사</t>
  </si>
  <si>
    <t>장학관</t>
  </si>
  <si>
    <t>추서</t>
  </si>
  <si>
    <t>김OO</t>
    <phoneticPr fontId="10" type="noConversion"/>
  </si>
  <si>
    <t>이OO</t>
    <phoneticPr fontId="10" type="noConversion"/>
  </si>
  <si>
    <t>박OO</t>
    <phoneticPr fontId="10" type="noConversion"/>
  </si>
  <si>
    <t>최OO</t>
    <phoneticPr fontId="10" type="noConversion"/>
  </si>
  <si>
    <t>정OO</t>
    <phoneticPr fontId="10" type="noConversion"/>
  </si>
  <si>
    <t>홍OO</t>
    <phoneticPr fontId="10" type="noConversion"/>
  </si>
  <si>
    <t>근정포장</t>
  </si>
  <si>
    <t>대통령표창</t>
  </si>
  <si>
    <t>국무총리표창</t>
  </si>
  <si>
    <t>사망퇴직</t>
  </si>
  <si>
    <t>명예퇴직</t>
  </si>
  <si>
    <t xml:space="preserve">38년 05월 24일 </t>
    <phoneticPr fontId="10" type="noConversion"/>
  </si>
  <si>
    <r>
      <t xml:space="preserve">35년 11월 27일
</t>
    </r>
    <r>
      <rPr>
        <sz val="10"/>
        <color rgb="FFFF0000"/>
        <rFont val="굴림"/>
        <family val="3"/>
        <charset val="129"/>
      </rPr>
      <t xml:space="preserve">(36년으로 산정) </t>
    </r>
    <phoneticPr fontId="10" type="noConversion"/>
  </si>
  <si>
    <t xml:space="preserve">31년 10월 24일 </t>
    <phoneticPr fontId="10" type="noConversion"/>
  </si>
  <si>
    <t xml:space="preserve">28년 07월 13일 </t>
    <phoneticPr fontId="10" type="noConversion"/>
  </si>
  <si>
    <t xml:space="preserve">25년 06월 25일 </t>
    <phoneticPr fontId="1" type="noConversion"/>
  </si>
  <si>
    <t>무</t>
    <phoneticPr fontId="1" type="noConversion"/>
  </si>
  <si>
    <t>91.02.17.~
93.01.15.</t>
    <phoneticPr fontId="10" type="noConversion"/>
  </si>
  <si>
    <t>99.06.10.~
01.02.17.</t>
    <phoneticPr fontId="10" type="noConversion"/>
  </si>
  <si>
    <t>93.06.10~
95.02.17</t>
    <phoneticPr fontId="10" type="noConversion"/>
  </si>
  <si>
    <t xml:space="preserve">사립초임시교사
(93.03.01.~
93.12.31.)
-학교장발령
</t>
    <phoneticPr fontId="10" type="noConversion"/>
  </si>
  <si>
    <t>000000-1234567</t>
    <phoneticPr fontId="10" type="noConversion"/>
  </si>
  <si>
    <t>000000-2345678</t>
    <phoneticPr fontId="10" type="noConversion"/>
  </si>
  <si>
    <t>대전시교육행정직
(84.03.12.∼86.10.27.)</t>
    <phoneticPr fontId="10" type="noConversion"/>
  </si>
  <si>
    <t>질병
(03.09.01.~
04.08.31.)</t>
    <phoneticPr fontId="10" type="noConversion"/>
  </si>
  <si>
    <t>영동대전임강사(86.01.01.~
86.12.31.)
배재대부교수(87.01.01.~
87.12.31.)</t>
    <phoneticPr fontId="10" type="noConversion"/>
  </si>
  <si>
    <t>공립초임시교사(95.07.15.~
95.12.31.)
-교육장발령</t>
    <phoneticPr fontId="10" type="noConversion"/>
  </si>
  <si>
    <t>사립초임시교사(84.03.12.~
85.10.27.)
-학교장발령</t>
    <phoneticPr fontId="10" type="noConversion"/>
  </si>
  <si>
    <t>사립고임시교사(84.03.12.~
92.10.27.)
-학교장발령</t>
    <phoneticPr fontId="10" type="noConversion"/>
  </si>
  <si>
    <t>서울대조교(96.01.05.~
96.07.14.)</t>
    <phoneticPr fontId="10" type="noConversion"/>
  </si>
  <si>
    <t>연세대조교(92.10.28.~
09.10.12.)</t>
    <phoneticPr fontId="10" type="noConversion"/>
  </si>
  <si>
    <t>육아
(94.08.21.~
95.02.28.)
고용
(95.03.01.~
99.02.28.)
고용
(05.03.01.~
08.07.14.)</t>
    <phoneticPr fontId="10" type="noConversion"/>
  </si>
  <si>
    <t>감봉1월(97.09.08.)
사면(01.01.31.)</t>
    <phoneticPr fontId="10" type="noConversion"/>
  </si>
  <si>
    <t>직위해제
(00.03.01.~
00.03.31.)</t>
    <phoneticPr fontId="10" type="noConversion"/>
  </si>
  <si>
    <t>소방직
(70.10.05.~
81.07.14.)</t>
    <phoneticPr fontId="10" type="noConversion"/>
  </si>
  <si>
    <t>병역
(95.02.22.~
96.03.04.)</t>
    <phoneticPr fontId="10" type="noConversion"/>
  </si>
  <si>
    <r>
      <rPr>
        <b/>
        <sz val="10"/>
        <rFont val="굴림"/>
        <family val="3"/>
        <charset val="129"/>
      </rPr>
      <t>정식기관명칭 작성</t>
    </r>
    <r>
      <rPr>
        <b/>
        <sz val="10"/>
        <color rgb="FFFF0000"/>
        <rFont val="굴림"/>
        <family val="3"/>
        <charset val="129"/>
      </rPr>
      <t xml:space="preserve">
</t>
    </r>
    <r>
      <rPr>
        <sz val="10"/>
        <color rgb="FFFF0000"/>
        <rFont val="굴림"/>
        <family val="3"/>
        <charset val="129"/>
      </rPr>
      <t>OO초 (X)
OO여고 (X)</t>
    </r>
    <phoneticPr fontId="1" type="noConversion"/>
  </si>
  <si>
    <t>상훈포털과
동일하게 쓸 것</t>
    <phoneticPr fontId="1" type="noConversion"/>
  </si>
  <si>
    <r>
      <rPr>
        <b/>
        <sz val="10"/>
        <color rgb="FFFF0000"/>
        <rFont val="굴림"/>
        <family val="3"/>
        <charset val="129"/>
      </rPr>
      <t>15일 이상</t>
    </r>
    <r>
      <rPr>
        <b/>
        <sz val="10"/>
        <rFont val="굴림"/>
        <family val="3"/>
        <charset val="129"/>
      </rPr>
      <t>은
1월로 올려서
훈격 산정</t>
    </r>
    <phoneticPr fontId="1" type="noConversion"/>
  </si>
  <si>
    <t>임시교사,
기간제교사
경력</t>
    <phoneticPr fontId="1" type="noConversion"/>
  </si>
  <si>
    <t>X</t>
  </si>
  <si>
    <t>직무태만</t>
  </si>
  <si>
    <t>공무상질병
(22.01.01.~
22.12.31.)</t>
    <phoneticPr fontId="1" type="noConversion"/>
  </si>
  <si>
    <t>대통령표창
(09.05.15.)</t>
    <phoneticPr fontId="10" type="noConversion"/>
  </si>
  <si>
    <t>옥조근정훈장
(09.05.15.)</t>
    <phoneticPr fontId="10" type="noConversion"/>
  </si>
  <si>
    <t>국무총리표창
(09.05.15.)</t>
    <phoneticPr fontId="10" type="noConversion"/>
  </si>
  <si>
    <t>인사기록카드
경력증명서 1부
주민등록초본 1부</t>
    <phoneticPr fontId="10" type="noConversion"/>
  </si>
  <si>
    <t>OOOOOOOOOOO 기여함</t>
    <phoneticPr fontId="1" type="noConversion"/>
  </si>
  <si>
    <t>OO유치원
원감 OOO
010-123-1234</t>
    <phoneticPr fontId="10" type="noConversion"/>
  </si>
  <si>
    <t>인천OO초
교감 OOO
010-123-1234</t>
    <phoneticPr fontId="10" type="noConversion"/>
  </si>
  <si>
    <t>OO교육지원청
장학사 OOO
010-1234-1234</t>
    <phoneticPr fontId="10" type="noConversion"/>
  </si>
  <si>
    <t>(비워둠)</t>
    <phoneticPr fontId="1" type="noConversion"/>
  </si>
  <si>
    <t>OO교육지원청
장학사 OOO
010-1234-1234</t>
    <phoneticPr fontId="1" type="noConversion"/>
  </si>
  <si>
    <t>인천광역시교육청
주무관 OOO
010-1234-1234</t>
    <phoneticPr fontId="1" type="noConversion"/>
  </si>
  <si>
    <t>인천</t>
    <phoneticPr fontId="1" type="noConversion"/>
  </si>
  <si>
    <r>
      <rPr>
        <b/>
        <sz val="12"/>
        <rFont val="맑은 고딕"/>
        <family val="3"/>
        <charset val="129"/>
      </rPr>
      <t xml:space="preserve">※ 교육청으로 제출 시, </t>
    </r>
    <r>
      <rPr>
        <b/>
        <sz val="12"/>
        <color rgb="FFFF0000"/>
        <rFont val="맑은 고딕"/>
        <family val="3"/>
        <charset val="129"/>
      </rPr>
      <t>추천자명단만 남기고 나머지 행과 예시는 삭제 후 제출</t>
    </r>
    <r>
      <rPr>
        <b/>
        <sz val="12"/>
        <rFont val="맑은 고딕"/>
        <family val="3"/>
        <charset val="129"/>
      </rPr>
      <t xml:space="preserve"> (예: OO학교에서 총 2명 추천시, 순번 1~2 행만 남기고 나머지 삭제)</t>
    </r>
    <phoneticPr fontId="10" type="noConversion"/>
  </si>
  <si>
    <t>상훈포털입력(성명1)</t>
    <phoneticPr fontId="1" type="noConversion"/>
  </si>
  <si>
    <t>상훈포털입력(성명2)</t>
  </si>
  <si>
    <t>상훈포털입력(성명3)</t>
  </si>
  <si>
    <t>상훈포털입력(성명4)</t>
  </si>
  <si>
    <t>상훈포털입력(성명5)</t>
  </si>
  <si>
    <t>일</t>
    <phoneticPr fontId="1" type="noConversion"/>
  </si>
  <si>
    <t>재직기간(엑셀)</t>
    <phoneticPr fontId="1" type="noConversion"/>
  </si>
  <si>
    <t>재직기간(상훈포털)</t>
    <phoneticPr fontId="1" type="noConversion"/>
  </si>
  <si>
    <t xml:space="preserve">년 </t>
    <phoneticPr fontId="1" type="noConversion"/>
  </si>
  <si>
    <t xml:space="preserve">월 </t>
    <phoneticPr fontId="1" type="noConversion"/>
  </si>
  <si>
    <r>
      <t xml:space="preserve">39년 11월 28일
</t>
    </r>
    <r>
      <rPr>
        <sz val="10"/>
        <color rgb="FFFF0000"/>
        <rFont val="굴림"/>
        <family val="3"/>
        <charset val="129"/>
      </rPr>
      <t>(40년으로 산정)</t>
    </r>
    <phoneticPr fontId="10" type="noConversion"/>
  </si>
  <si>
    <t>000000-0000000</t>
    <phoneticPr fontId="1" type="noConversion"/>
  </si>
  <si>
    <t>1900-00-00</t>
    <phoneticPr fontId="1" type="noConversion"/>
  </si>
  <si>
    <t>해당 있을 시 상훈포털에 반드시 작성, 엑셀은 간략히 작성</t>
    <phoneticPr fontId="10" type="noConversion"/>
  </si>
  <si>
    <t>여기까지 입력완료 후 상훈포털페이지 [저장] 클릭</t>
    <phoneticPr fontId="3" type="noConversion"/>
  </si>
  <si>
    <t>증서에 기재되는 직급명 선택</t>
  </si>
  <si>
    <r>
      <rPr>
        <b/>
        <sz val="10"/>
        <rFont val="맑은 고딕"/>
        <family val="3"/>
        <charset val="129"/>
        <scheme val="minor"/>
      </rPr>
      <t xml:space="preserve">※ 교사의 경우 </t>
    </r>
    <r>
      <rPr>
        <b/>
        <sz val="10"/>
        <color rgb="FFFF0000"/>
        <rFont val="맑은 고딕"/>
        <family val="3"/>
        <charset val="129"/>
        <scheme val="minor"/>
      </rPr>
      <t>교사 임용일</t>
    </r>
    <r>
      <rPr>
        <b/>
        <sz val="10"/>
        <rFont val="맑은 고딕"/>
        <family val="3"/>
        <charset val="129"/>
        <scheme val="minor"/>
      </rPr>
      <t xml:space="preserve"> 작성,
   관리자의 경우 </t>
    </r>
    <r>
      <rPr>
        <b/>
        <sz val="10"/>
        <color rgb="FFFF0000"/>
        <rFont val="맑은 고딕"/>
        <family val="3"/>
        <charset val="129"/>
        <scheme val="minor"/>
      </rPr>
      <t>현직급(교장·교감 등) 임용일</t>
    </r>
    <r>
      <rPr>
        <b/>
        <sz val="10"/>
        <rFont val="맑은 고딕"/>
        <family val="3"/>
        <charset val="129"/>
        <scheme val="minor"/>
      </rPr>
      <t xml:space="preserve"> 작성</t>
    </r>
    <phoneticPr fontId="3" type="noConversion"/>
  </si>
  <si>
    <r>
      <t xml:space="preserve">● 재직기간 </t>
    </r>
    <r>
      <rPr>
        <b/>
        <sz val="13"/>
        <color rgb="FFFF0000"/>
        <rFont val="맑은 고딕"/>
        <family val="3"/>
        <charset val="129"/>
        <scheme val="minor"/>
      </rPr>
      <t>(중요★)</t>
    </r>
    <phoneticPr fontId="10" type="noConversion"/>
  </si>
  <si>
    <r>
      <t xml:space="preserve">  ※ 아래는 </t>
    </r>
    <r>
      <rPr>
        <b/>
        <sz val="12"/>
        <color rgb="FF0000FF"/>
        <rFont val="맑은 고딕"/>
        <family val="3"/>
        <charset val="129"/>
        <scheme val="minor"/>
      </rPr>
      <t>예시</t>
    </r>
    <r>
      <rPr>
        <b/>
        <sz val="12"/>
        <rFont val="맑은 고딕"/>
        <family val="3"/>
        <charset val="129"/>
        <scheme val="minor"/>
      </rPr>
      <t>이므로, 참고하여 상훈포털 페이지에 정확하게 입력해주세요</t>
    </r>
    <phoneticPr fontId="3" type="noConversion"/>
  </si>
  <si>
    <t>근무시작일 ~ 근무종료일</t>
    <phoneticPr fontId="10" type="noConversion"/>
  </si>
  <si>
    <t>1991-01-01 ~ 1992-10-31</t>
    <phoneticPr fontId="1" type="noConversion"/>
  </si>
  <si>
    <t>1993-03-01 ~ 1993-05-31</t>
    <phoneticPr fontId="1" type="noConversion"/>
  </si>
  <si>
    <t>1993-06-01 ~ 1994-02-28</t>
    <phoneticPr fontId="1" type="noConversion"/>
  </si>
  <si>
    <t>1994-03-01 ~ 1995-02-28</t>
    <phoneticPr fontId="1" type="noConversion"/>
  </si>
  <si>
    <t>1995-03-01 ~ 1997-12-31</t>
    <phoneticPr fontId="1" type="noConversion"/>
  </si>
  <si>
    <t>1998-01-01 ~ 2020-02-29</t>
    <phoneticPr fontId="1" type="noConversion"/>
  </si>
  <si>
    <t>2020-03-01 ~ 2021-02-28</t>
    <phoneticPr fontId="1" type="noConversion"/>
  </si>
  <si>
    <t>2021-03-01 ~ 2022-02-29</t>
    <phoneticPr fontId="1" type="noConversion"/>
  </si>
  <si>
    <t>2022-03-01 ~ 2024-02-29</t>
    <phoneticPr fontId="1" type="noConversion"/>
  </si>
  <si>
    <t>2024-03-01 ~ 2025-08-31</t>
    <phoneticPr fontId="1" type="noConversion"/>
  </si>
  <si>
    <t>2025-09-01 ~ 2025-12-31</t>
    <phoneticPr fontId="1" type="noConversion"/>
  </si>
  <si>
    <t>재직/휴직구분</t>
    <phoneticPr fontId="1" type="noConversion"/>
  </si>
  <si>
    <t>재직사항</t>
  </si>
  <si>
    <t>재직사항</t>
    <phoneticPr fontId="1" type="noConversion"/>
  </si>
  <si>
    <t>임용 전 재직사항</t>
  </si>
  <si>
    <t>임용 전 재직사항</t>
    <phoneticPr fontId="1" type="noConversion"/>
  </si>
  <si>
    <t>휴직사항</t>
  </si>
  <si>
    <t>휴직사항</t>
    <phoneticPr fontId="1" type="noConversion"/>
  </si>
  <si>
    <t>재직기간</t>
    <phoneticPr fontId="1" type="noConversion"/>
  </si>
  <si>
    <t>특정직 근무</t>
  </si>
  <si>
    <t>특정직 근무</t>
    <phoneticPr fontId="1" type="noConversion"/>
  </si>
  <si>
    <t>기타 재직기간 제외</t>
  </si>
  <si>
    <t>기타 재직기간 제외</t>
    <phoneticPr fontId="1" type="noConversion"/>
  </si>
  <si>
    <t>군 의무복무 경력</t>
  </si>
  <si>
    <t>군 의무복무 경력</t>
    <phoneticPr fontId="1" type="noConversion"/>
  </si>
  <si>
    <t>1982.09.09. 이전 방위소집 입영경력</t>
    <phoneticPr fontId="1" type="noConversion"/>
  </si>
  <si>
    <t>1982.09.10.~1985.12.31. 방위소집 입영경력</t>
    <phoneticPr fontId="1" type="noConversion"/>
  </si>
  <si>
    <t>1986.01.01.~1994.12.31. 방위소집 입영경력</t>
    <phoneticPr fontId="1" type="noConversion"/>
  </si>
  <si>
    <t>1995.01.01. 이후 상근예비역, 보충역</t>
    <phoneticPr fontId="1" type="noConversion"/>
  </si>
  <si>
    <t>군양성 교육경력</t>
    <phoneticPr fontId="1" type="noConversion"/>
  </si>
  <si>
    <t>기타 재직기간 인정</t>
  </si>
  <si>
    <t>기타 재직기간 인정</t>
    <phoneticPr fontId="1" type="noConversion"/>
  </si>
  <si>
    <t>질병휴직(공무상)</t>
    <phoneticPr fontId="1" type="noConversion"/>
  </si>
  <si>
    <t>병역휴직</t>
    <phoneticPr fontId="1" type="noConversion"/>
  </si>
  <si>
    <t>법정의무수행휴직</t>
    <phoneticPr fontId="1" type="noConversion"/>
  </si>
  <si>
    <t>노조전임휴직</t>
    <phoneticPr fontId="1" type="noConversion"/>
  </si>
  <si>
    <t>고용휴직</t>
    <phoneticPr fontId="1" type="noConversion"/>
  </si>
  <si>
    <t>유학휴직</t>
    <phoneticPr fontId="1" type="noConversion"/>
  </si>
  <si>
    <t>육아휴직</t>
  </si>
  <si>
    <t>육아휴직</t>
    <phoneticPr fontId="1" type="noConversion"/>
  </si>
  <si>
    <t>입양휴직</t>
    <phoneticPr fontId="1" type="noConversion"/>
  </si>
  <si>
    <t>미인정휴직</t>
    <phoneticPr fontId="1" type="noConversion"/>
  </si>
  <si>
    <t>질병휴직</t>
    <phoneticPr fontId="1" type="noConversion"/>
  </si>
  <si>
    <t>가사휴직</t>
    <phoneticPr fontId="1" type="noConversion"/>
  </si>
  <si>
    <t>연수휴직</t>
    <phoneticPr fontId="1" type="noConversion"/>
  </si>
  <si>
    <t>해외동반휴직</t>
    <phoneticPr fontId="1" type="noConversion"/>
  </si>
  <si>
    <t>예시</t>
    <phoneticPr fontId="3" type="noConversion"/>
  </si>
  <si>
    <r>
      <t xml:space="preserve">임용전 육군 복무경력이 있는 경우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</si>
  <si>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r>
      <t xml:space="preserve">임용전 기간제교사(임시교사) 경력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</si>
  <si>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r>
      <t xml:space="preserve">교사 임용 후 재직 경력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</si>
  <si>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t>미인정되는 일용직, 강사 경력 등은 아예 입력하지 말 것</t>
    <phoneticPr fontId="1" type="noConversion"/>
  </si>
  <si>
    <r>
      <t xml:space="preserve">임용전 시간강사 경력 </t>
    </r>
    <r>
      <rPr>
        <b/>
        <strike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</si>
  <si>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r>
      <t xml:space="preserve">공무상 질병휴직을 한 경우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</si>
  <si>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r>
      <t xml:space="preserve">육아휴직을 한 경우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</si>
  <si>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r>
      <t xml:space="preserve">질병휴직을 한 경우 </t>
    </r>
    <r>
      <rPr>
        <b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</si>
  <si>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r>
      <t xml:space="preserve">해외동반휴직을 한 경우 </t>
    </r>
    <r>
      <rPr>
        <b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</si>
  <si>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r>
      <t xml:space="preserve">가사휴직을 한 경우 </t>
    </r>
    <r>
      <rPr>
        <b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</si>
  <si>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r>
      <t xml:space="preserve">연수휴직을 한 경우 </t>
    </r>
    <r>
      <rPr>
        <b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</si>
  <si>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t>예시</t>
    <phoneticPr fontId="10" type="noConversion"/>
  </si>
  <si>
    <t>※ 여러 학교의 경력을 1줄로 작성할 수 있음</t>
    <phoneticPr fontId="1" type="noConversion"/>
  </si>
  <si>
    <t>※ 또는 여러줄로 쓸 수 있음</t>
    <phoneticPr fontId="1" type="noConversion"/>
  </si>
  <si>
    <t>(예시) 2021-12-31</t>
    <phoneticPr fontId="3" type="noConversion"/>
  </si>
  <si>
    <t>OOO유공 중앙행정기관장(차관급)상</t>
    <phoneticPr fontId="1" type="noConversion"/>
  </si>
  <si>
    <t>https://www.sanghun.go.kr/</t>
    <phoneticPr fontId="1" type="noConversion"/>
  </si>
  <si>
    <t xml:space="preserve">   **다른 포상을 선택하지 않도록 유의</t>
    <phoneticPr fontId="3" type="noConversion"/>
  </si>
  <si>
    <r>
      <t xml:space="preserve">(예시) 인천OO초등학교 - 증서에 기재되는 소속기관명만 입력 </t>
    </r>
    <r>
      <rPr>
        <b/>
        <sz val="11"/>
        <color rgb="FFFF0000"/>
        <rFont val="돋움"/>
        <family val="3"/>
        <charset val="129"/>
      </rPr>
      <t>!!상훈포털에 주소 입력 금지!!</t>
    </r>
    <phoneticPr fontId="10" type="noConversion"/>
  </si>
  <si>
    <t>지원청에서 작성</t>
    <phoneticPr fontId="1" type="noConversion"/>
  </si>
  <si>
    <t>시교육청 작성</t>
    <phoneticPr fontId="1" type="noConversion"/>
  </si>
  <si>
    <r>
      <rPr>
        <b/>
        <sz val="10"/>
        <color rgb="FFFF0000"/>
        <rFont val="굴림"/>
        <family val="3"/>
        <charset val="129"/>
      </rPr>
      <t xml:space="preserve">하이픈(-)
입력금지
</t>
    </r>
    <r>
      <rPr>
        <b/>
        <sz val="10"/>
        <rFont val="굴림"/>
        <family val="3"/>
        <charset val="129"/>
      </rPr>
      <t>자동기입됨</t>
    </r>
    <phoneticPr fontId="1" type="noConversion"/>
  </si>
  <si>
    <t>모든 휴직
반드시 작성</t>
    <phoneticPr fontId="1" type="noConversion"/>
  </si>
  <si>
    <t>학교 미기재
(교육청 입력)</t>
    <phoneticPr fontId="1" type="noConversion"/>
  </si>
  <si>
    <t>국무총리표창 이상 필수입력</t>
    <phoneticPr fontId="3" type="noConversion"/>
  </si>
  <si>
    <r>
      <t xml:space="preserve">스승의날 기념 교육부장관 표창 </t>
    </r>
    <r>
      <rPr>
        <sz val="11"/>
        <color rgb="FFFF0000"/>
        <rFont val="맑은 고딕"/>
        <family val="3"/>
        <charset val="129"/>
        <scheme val="minor"/>
      </rPr>
      <t>(장관표창은 가장 최근수상 1건만 작성)</t>
    </r>
    <phoneticPr fontId="3" type="noConversion"/>
  </si>
  <si>
    <r>
      <t>OOO유공 교육감 표창</t>
    </r>
    <r>
      <rPr>
        <sz val="11"/>
        <color rgb="FFFF0000"/>
        <rFont val="맑은 고딕"/>
        <family val="3"/>
        <charset val="129"/>
        <scheme val="minor"/>
      </rPr>
      <t xml:space="preserve"> (교육감표창은 가장 최근수상 1건만 작성)</t>
    </r>
    <phoneticPr fontId="3" type="noConversion"/>
  </si>
  <si>
    <t>장관표창 이하 선택입력(필수아님)</t>
    <phoneticPr fontId="3" type="noConversion"/>
  </si>
  <si>
    <t>학교에서 작성
(포상 실무자)</t>
    <phoneticPr fontId="1" type="noConversion"/>
  </si>
  <si>
    <t>OO중
교사 OOO
010-123-1234</t>
    <phoneticPr fontId="10" type="noConversion"/>
  </si>
  <si>
    <t>인천OO고
교사 OOO
010-123-1234</t>
    <phoneticPr fontId="10" type="noConversion"/>
  </si>
  <si>
    <t>인천OO학교
교사 OOO
010-123-1234</t>
    <phoneticPr fontId="10" type="noConversion"/>
  </si>
  <si>
    <t>예시는
삭제후
제출</t>
    <phoneticPr fontId="1" type="noConversion"/>
  </si>
  <si>
    <r>
      <t xml:space="preserve">공적요지
</t>
    </r>
    <r>
      <rPr>
        <b/>
        <sz val="9"/>
        <color rgb="FFFF0000"/>
        <rFont val="맑은 고딕"/>
        <family val="3"/>
        <charset val="129"/>
        <scheme val="minor"/>
      </rPr>
      <t>(상훈포털과 동일한 내용으로 130~150 Byte 입력 필수)</t>
    </r>
    <phoneticPr fontId="10" type="noConversion"/>
  </si>
  <si>
    <r>
      <t xml:space="preserve">대학 유급조교
경력
</t>
    </r>
    <r>
      <rPr>
        <sz val="10"/>
        <color rgb="FFFF0000"/>
        <rFont val="굴림"/>
        <family val="3"/>
        <charset val="129"/>
      </rPr>
      <t>('유급' 미표기시
미인정)</t>
    </r>
    <phoneticPr fontId="1" type="noConversion"/>
  </si>
  <si>
    <t>(교사 X)
공무원, 교수 등
타직종 경력</t>
    <phoneticPr fontId="1" type="noConversion"/>
  </si>
  <si>
    <t>상훈포털(퇴직교원 정부포상) 추천대상자 입력 안내</t>
    <phoneticPr fontId="1" type="noConversion"/>
  </si>
  <si>
    <r>
      <rPr>
        <b/>
        <sz val="12"/>
        <color rgb="FFFF0000"/>
        <rFont val="맑은 고딕"/>
        <family val="3"/>
        <charset val="129"/>
        <scheme val="minor"/>
      </rPr>
      <t>※ 포상(상훈)담당자 필독 ※</t>
    </r>
    <r>
      <rPr>
        <sz val="12"/>
        <color theme="1"/>
        <rFont val="맑은 고딕"/>
        <family val="3"/>
        <charset val="129"/>
        <scheme val="minor"/>
      </rPr>
      <t xml:space="preserve">
- 포상업무에서 가장 중요한 '</t>
    </r>
    <r>
      <rPr>
        <b/>
        <u/>
        <sz val="12"/>
        <color theme="1"/>
        <rFont val="맑은 고딕"/>
        <family val="3"/>
        <charset val="129"/>
        <scheme val="minor"/>
      </rPr>
      <t>재직기간 산정방법</t>
    </r>
    <r>
      <rPr>
        <sz val="12"/>
        <color theme="1"/>
        <rFont val="맑은 고딕"/>
        <family val="3"/>
        <charset val="129"/>
        <scheme val="minor"/>
      </rPr>
      <t>' 및 '</t>
    </r>
    <r>
      <rPr>
        <b/>
        <u/>
        <sz val="12"/>
        <color theme="1"/>
        <rFont val="맑은 고딕"/>
        <family val="3"/>
        <charset val="129"/>
        <scheme val="minor"/>
      </rPr>
      <t>제출서류</t>
    </r>
    <r>
      <rPr>
        <sz val="12"/>
        <color theme="1"/>
        <rFont val="맑은 고딕"/>
        <family val="3"/>
        <charset val="129"/>
        <scheme val="minor"/>
      </rPr>
      <t xml:space="preserve">'에 대한 상세한 사항은 </t>
    </r>
    <r>
      <rPr>
        <b/>
        <sz val="15"/>
        <color rgb="FFFF0000"/>
        <rFont val="맑은 고딕"/>
        <family val="3"/>
        <charset val="129"/>
        <scheme val="minor"/>
      </rPr>
      <t>반 드 시</t>
    </r>
    <r>
      <rPr>
        <sz val="12"/>
        <color theme="1"/>
        <rFont val="맑은 고딕"/>
        <family val="3"/>
        <charset val="129"/>
        <scheme val="minor"/>
      </rPr>
      <t xml:space="preserve"> </t>
    </r>
    <r>
      <rPr>
        <b/>
        <u/>
        <sz val="12"/>
        <color theme="1"/>
        <rFont val="맑은 고딕"/>
        <family val="3"/>
        <charset val="129"/>
        <scheme val="minor"/>
      </rPr>
      <t>공문 붙임파일</t>
    </r>
    <r>
      <rPr>
        <sz val="12"/>
        <color theme="1"/>
        <rFont val="맑은 고딕"/>
        <family val="3"/>
        <charset val="129"/>
        <scheme val="minor"/>
      </rPr>
      <t xml:space="preserve">을 정독하여 주시기 바랍니다
- 아래 입력부분은 </t>
    </r>
    <r>
      <rPr>
        <b/>
        <u/>
        <sz val="12"/>
        <color theme="1"/>
        <rFont val="맑은 고딕"/>
        <family val="3"/>
        <charset val="129"/>
        <scheme val="minor"/>
      </rPr>
      <t>상훈포털 페이지와 동일</t>
    </r>
    <r>
      <rPr>
        <sz val="12"/>
        <color theme="1"/>
        <rFont val="맑은 고딕"/>
        <family val="3"/>
        <charset val="129"/>
        <scheme val="minor"/>
      </rPr>
      <t xml:space="preserve">하게 제작하였으므로, </t>
    </r>
    <r>
      <rPr>
        <b/>
        <u/>
        <sz val="12"/>
        <rFont val="맑은 고딕"/>
        <family val="3"/>
        <charset val="129"/>
      </rPr>
      <t>엑셀</t>
    </r>
    <r>
      <rPr>
        <b/>
        <u/>
        <sz val="12"/>
        <color rgb="FF0000FF"/>
        <rFont val="맑은 고딕"/>
        <family val="3"/>
        <charset val="129"/>
      </rPr>
      <t>(노란색 셀 필수)</t>
    </r>
    <r>
      <rPr>
        <b/>
        <sz val="12"/>
        <rFont val="맑은 고딕"/>
        <family val="3"/>
        <charset val="129"/>
      </rPr>
      <t xml:space="preserve">을 설명을 잘 읽고 참고하신 후 </t>
    </r>
    <r>
      <rPr>
        <b/>
        <u/>
        <sz val="12"/>
        <color rgb="FF0000FF"/>
        <rFont val="맑은 고딕"/>
        <family val="3"/>
        <charset val="129"/>
      </rPr>
      <t>상훈포털 페이지 입력란</t>
    </r>
    <r>
      <rPr>
        <b/>
        <sz val="12"/>
        <rFont val="맑은 고딕"/>
        <family val="3"/>
        <charset val="129"/>
      </rPr>
      <t xml:space="preserve">에
   </t>
    </r>
    <r>
      <rPr>
        <b/>
        <sz val="12"/>
        <color rgb="FFFF0000"/>
        <rFont val="맑은 고딕"/>
        <family val="3"/>
        <charset val="129"/>
      </rPr>
      <t>동일한 내용으로 기입</t>
    </r>
    <r>
      <rPr>
        <b/>
        <sz val="12"/>
        <rFont val="맑은 고딕"/>
        <family val="3"/>
        <charset val="129"/>
      </rPr>
      <t>해주세요</t>
    </r>
    <phoneticPr fontId="10" type="noConversion"/>
  </si>
  <si>
    <t>홍길동</t>
    <phoneticPr fontId="1" type="noConversion"/>
  </si>
  <si>
    <t>洪吉童</t>
    <phoneticPr fontId="10" type="noConversion"/>
  </si>
  <si>
    <t>2027년 2월말 퇴직교원 포상</t>
    <phoneticPr fontId="10" type="noConversion"/>
  </si>
  <si>
    <t>상훈포털에 1,000자 이상 입력해야 함</t>
    <phoneticPr fontId="10" type="noConversion"/>
  </si>
  <si>
    <r>
      <t xml:space="preserve">
- 130 ~ 150Byte 이내 입력
- 반드시 </t>
    </r>
    <r>
      <rPr>
        <b/>
        <u/>
        <sz val="11"/>
        <color rgb="FFFF0000"/>
        <rFont val="맑은 고딕"/>
        <family val="3"/>
        <charset val="129"/>
        <scheme val="minor"/>
      </rPr>
      <t>"~기여함"</t>
    </r>
    <r>
      <rPr>
        <b/>
        <sz val="11"/>
        <color rgb="FFFF0000"/>
        <rFont val="맑은 고딕"/>
        <family val="3"/>
        <charset val="129"/>
        <scheme val="minor"/>
      </rPr>
      <t xml:space="preserve"> 으로 끝나야만 상훈포털에 입력됨</t>
    </r>
    <phoneticPr fontId="3" type="noConversion"/>
  </si>
  <si>
    <r>
      <t>행정부국가공무원</t>
    </r>
    <r>
      <rPr>
        <b/>
        <sz val="11"/>
        <color rgb="FF0000FF"/>
        <rFont val="맑은 고딕"/>
        <family val="3"/>
        <charset val="129"/>
        <scheme val="minor"/>
      </rPr>
      <t xml:space="preserve"> (사립교원은 미입력)</t>
    </r>
    <phoneticPr fontId="10" type="noConversion"/>
  </si>
  <si>
    <t>※ '교사' 검색 시, 팝업창의 "13번" 교사(국공립) / "4번" 교사(사립) 선택</t>
    <phoneticPr fontId="3" type="noConversion"/>
  </si>
  <si>
    <r>
      <t xml:space="preserve">※ 추천대상자의 </t>
    </r>
    <r>
      <rPr>
        <b/>
        <sz val="10"/>
        <color rgb="FFFF0000"/>
        <rFont val="맑은 고딕"/>
        <family val="3"/>
        <charset val="129"/>
        <scheme val="minor"/>
      </rPr>
      <t>실제 퇴직일</t>
    </r>
    <r>
      <rPr>
        <b/>
        <sz val="10"/>
        <rFont val="맑은 고딕"/>
        <family val="3"/>
        <charset val="129"/>
        <scheme val="minor"/>
      </rPr>
      <t xml:space="preserve"> 작성</t>
    </r>
    <phoneticPr fontId="1" type="noConversion"/>
  </si>
  <si>
    <r>
      <t xml:space="preserve">  ※ 퇴직공무원포상 수공기간 인정여부는 </t>
    </r>
    <r>
      <rPr>
        <b/>
        <u/>
        <sz val="12"/>
        <rFont val="맑은 고딕"/>
        <family val="3"/>
        <charset val="129"/>
        <scheme val="minor"/>
      </rPr>
      <t>2026년도 정부포상 업무지침 및 공문 붙임파일을 반드시 참고할 것</t>
    </r>
    <r>
      <rPr>
        <b/>
        <sz val="12"/>
        <rFont val="맑은 고딕"/>
        <family val="3"/>
        <charset val="129"/>
        <scheme val="minor"/>
      </rPr>
      <t xml:space="preserve"> ★
     (방위, RNTC, 무관후보생경력 등 인정·미인정되는 기간은 반드시 "공문" 확인)</t>
    </r>
    <phoneticPr fontId="3" type="noConversion"/>
  </si>
  <si>
    <r>
      <t xml:space="preserve">2026-01-01 ~ </t>
    </r>
    <r>
      <rPr>
        <b/>
        <sz val="11"/>
        <color theme="1"/>
        <rFont val="맑은 고딕"/>
        <family val="3"/>
        <charset val="129"/>
        <scheme val="minor"/>
      </rPr>
      <t>2027-02-27</t>
    </r>
    <phoneticPr fontId="1" type="noConversion"/>
  </si>
  <si>
    <t>(예시)  37-11-15</t>
    <phoneticPr fontId="3" type="noConversion"/>
  </si>
  <si>
    <t>모든 재직기간 입력 후, 상훈포털에 자동 산정된 수공기간 확인</t>
    <phoneticPr fontId="3" type="noConversion"/>
  </si>
  <si>
    <t>▶ 포상업무관리 ▶ (좌측)추천관리 및 반려</t>
    <phoneticPr fontId="3" type="noConversion"/>
  </si>
  <si>
    <r>
      <rPr>
        <b/>
        <sz val="12"/>
        <color rgb="FFFF0000"/>
        <rFont val="맑은 고딕"/>
        <family val="3"/>
        <charset val="129"/>
        <scheme val="minor"/>
      </rPr>
      <t>▶ 2027년 2월말 퇴직교원 포상</t>
    </r>
    <r>
      <rPr>
        <b/>
        <sz val="12"/>
        <rFont val="맑은 고딕"/>
        <family val="3"/>
        <charset val="129"/>
        <scheme val="minor"/>
      </rPr>
      <t xml:space="preserve"> ▶ [신규작성] 버튼 클릭</t>
    </r>
    <phoneticPr fontId="1" type="noConversion"/>
  </si>
  <si>
    <t>하이픈(-) 입력</t>
    <phoneticPr fontId="1" type="noConversion"/>
  </si>
  <si>
    <t>2027년 2월말 퇴직교원 포상 추천대상자_정부포상 및 장관표창</t>
    <phoneticPr fontId="1" type="noConversion"/>
  </si>
  <si>
    <t>학교 미기재
(교육청 입력)</t>
  </si>
  <si>
    <t>(비워둠)</t>
  </si>
  <si>
    <t>아래 예시를 참고하여
작성하세요</t>
    <phoneticPr fontId="1" type="noConversion"/>
  </si>
  <si>
    <r>
      <rPr>
        <b/>
        <sz val="12"/>
        <rFont val="맑은 고딕"/>
        <family val="3"/>
        <charset val="129"/>
      </rPr>
      <t xml:space="preserve">※ 회색 셀 미기재, </t>
    </r>
    <r>
      <rPr>
        <b/>
        <u/>
        <sz val="12"/>
        <color rgb="FFFF0000"/>
        <rFont val="맑은 고딕"/>
        <family val="3"/>
        <charset val="129"/>
      </rPr>
      <t>흰색 셀에만 작성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</si>
</sst>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###\-#######"/>
    <numFmt numFmtId="177" formatCode="000000\-0000000"/>
    <numFmt numFmtId="178" formatCode="##\-##\-##"/>
  </numFmts>
  <fonts count="7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9"/>
      <color indexed="81"/>
      <name val="Tahoma"/>
      <family val="2"/>
    </font>
    <font>
      <b/>
      <u/>
      <sz val="12"/>
      <color rgb="FF0000FF"/>
      <name val="맑은 고딕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u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2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u val="double"/>
      <sz val="11"/>
      <color indexed="10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30"/>
      <name val="굴림"/>
      <family val="3"/>
    </font>
    <font>
      <sz val="10"/>
      <color indexed="8"/>
      <name val="굴림"/>
      <family val="3"/>
    </font>
    <font>
      <sz val="10"/>
      <name val="굴림"/>
      <family val="3"/>
    </font>
    <font>
      <sz val="11"/>
      <color indexed="30"/>
      <name val="굴림"/>
      <family val="3"/>
    </font>
    <font>
      <sz val="9"/>
      <color indexed="81"/>
      <name val="굴림"/>
      <family val="3"/>
    </font>
    <font>
      <sz val="9"/>
      <color indexed="8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9"/>
      <color indexed="81"/>
      <name val="굴림"/>
      <family val="3"/>
    </font>
    <font>
      <b/>
      <sz val="40"/>
      <color indexed="8"/>
      <name val="맑은 고딕"/>
      <family val="3"/>
      <charset val="129"/>
    </font>
    <font>
      <sz val="10"/>
      <color rgb="FFFF0000"/>
      <name val="굴림"/>
      <family val="3"/>
      <charset val="129"/>
    </font>
    <font>
      <b/>
      <sz val="10"/>
      <color indexed="3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/>
      <sz val="12"/>
      <color rgb="FFFF0000"/>
      <name val="맑은 고딕"/>
      <family val="3"/>
      <charset val="129"/>
    </font>
    <font>
      <b/>
      <u/>
      <sz val="12"/>
      <color rgb="FFFF0000"/>
      <name val="맑은 고딕"/>
      <family val="3"/>
      <charset val="129"/>
    </font>
    <font>
      <b/>
      <sz val="10"/>
      <color indexed="8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</font>
    <font>
      <sz val="10"/>
      <color indexed="81"/>
      <name val="돋움"/>
      <family val="3"/>
      <charset val="129"/>
    </font>
    <font>
      <b/>
      <sz val="10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7" fillId="0" borderId="0">
      <alignment vertical="center"/>
    </xf>
    <xf numFmtId="0" fontId="40" fillId="0" borderId="0"/>
    <xf numFmtId="0" fontId="47" fillId="0" borderId="0"/>
  </cellStyleXfs>
  <cellXfs count="234">
    <xf numFmtId="0" fontId="0" fillId="0" borderId="0" xfId="0">
      <alignment vertical="center"/>
    </xf>
    <xf numFmtId="0" fontId="0" fillId="0" borderId="3" xfId="0" applyBorder="1" applyProtection="1">
      <alignment vertical="center"/>
    </xf>
    <xf numFmtId="0" fontId="4" fillId="0" borderId="4" xfId="0" applyFont="1" applyBorder="1" applyAlignment="1" applyProtection="1">
      <alignment vertical="center" wrapText="1"/>
    </xf>
    <xf numFmtId="0" fontId="0" fillId="0" borderId="1" xfId="0" applyBorder="1" applyProtection="1">
      <alignment vertical="center"/>
    </xf>
    <xf numFmtId="0" fontId="9" fillId="0" borderId="1" xfId="0" applyFont="1" applyBorder="1" applyProtection="1">
      <alignment vertical="center"/>
    </xf>
    <xf numFmtId="0" fontId="9" fillId="0" borderId="3" xfId="0" applyFont="1" applyBorder="1" applyProtection="1">
      <alignment vertical="center"/>
    </xf>
    <xf numFmtId="0" fontId="9" fillId="0" borderId="4" xfId="0" applyFont="1" applyBorder="1" applyProtection="1">
      <alignment vertical="center"/>
    </xf>
    <xf numFmtId="0" fontId="4" fillId="0" borderId="1" xfId="0" applyFont="1" applyBorder="1" applyAlignment="1" applyProtection="1">
      <alignment vertical="center" wrapText="1"/>
    </xf>
    <xf numFmtId="0" fontId="23" fillId="4" borderId="12" xfId="0" applyFont="1" applyFill="1" applyBorder="1" applyAlignment="1" applyProtection="1">
      <alignment horizontal="left" vertical="center"/>
      <protection locked="0"/>
    </xf>
    <xf numFmtId="0" fontId="25" fillId="4" borderId="12" xfId="0" applyFont="1" applyFill="1" applyBorder="1" applyAlignment="1" applyProtection="1">
      <alignment horizontal="left" vertical="center"/>
      <protection locked="0"/>
    </xf>
    <xf numFmtId="14" fontId="23" fillId="4" borderId="12" xfId="0" applyNumberFormat="1" applyFont="1" applyFill="1" applyBorder="1" applyAlignment="1" applyProtection="1">
      <alignment horizontal="left" vertical="center"/>
      <protection locked="0"/>
    </xf>
    <xf numFmtId="0" fontId="24" fillId="4" borderId="12" xfId="0" applyFont="1" applyFill="1" applyBorder="1" applyAlignment="1" applyProtection="1">
      <alignment horizontal="left" vertical="center"/>
      <protection locked="0"/>
    </xf>
    <xf numFmtId="0" fontId="24" fillId="4" borderId="12" xfId="0" quotePrefix="1" applyFont="1" applyFill="1" applyBorder="1" applyAlignment="1" applyProtection="1">
      <alignment horizontal="left" vertical="center"/>
      <protection locked="0"/>
    </xf>
    <xf numFmtId="0" fontId="0" fillId="4" borderId="12" xfId="0" applyFill="1" applyBorder="1" applyAlignment="1" applyProtection="1">
      <alignment horizontal="left" vertical="center" shrinkToFit="1"/>
      <protection locked="0"/>
    </xf>
    <xf numFmtId="0" fontId="0" fillId="0" borderId="2" xfId="0" applyBorder="1" applyProtection="1">
      <alignment vertical="center"/>
    </xf>
    <xf numFmtId="0" fontId="0" fillId="0" borderId="5" xfId="0" applyBorder="1" applyProtection="1">
      <alignment vertical="center"/>
    </xf>
    <xf numFmtId="0" fontId="0" fillId="0" borderId="7" xfId="0" applyBorder="1" applyProtection="1">
      <alignment vertical="center"/>
    </xf>
    <xf numFmtId="0" fontId="9" fillId="0" borderId="1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0" fillId="0" borderId="3" xfId="0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 wrapText="1"/>
    </xf>
    <xf numFmtId="0" fontId="9" fillId="0" borderId="3" xfId="0" applyFont="1" applyBorder="1" applyAlignment="1" applyProtection="1">
      <alignment horizontal="left" vertical="center"/>
    </xf>
    <xf numFmtId="0" fontId="9" fillId="0" borderId="4" xfId="0" applyFont="1" applyBorder="1" applyAlignment="1" applyProtection="1">
      <alignment horizontal="left" vertical="center"/>
    </xf>
    <xf numFmtId="0" fontId="0" fillId="3" borderId="12" xfId="0" applyFill="1" applyBorder="1" applyAlignment="1" applyProtection="1">
      <alignment horizontal="left" vertical="center"/>
    </xf>
    <xf numFmtId="0" fontId="26" fillId="3" borderId="12" xfId="0" applyFont="1" applyFill="1" applyBorder="1" applyAlignment="1" applyProtection="1">
      <alignment horizontal="left" vertical="center"/>
    </xf>
    <xf numFmtId="0" fontId="9" fillId="0" borderId="4" xfId="0" quotePrefix="1" applyFont="1" applyBorder="1" applyAlignment="1" applyProtection="1">
      <alignment horizontal="left" vertical="center" wrapText="1"/>
    </xf>
    <xf numFmtId="0" fontId="9" fillId="0" borderId="1" xfId="0" quotePrefix="1" applyFont="1" applyBorder="1" applyAlignment="1" applyProtection="1">
      <alignment horizontal="left" vertical="center" wrapText="1"/>
    </xf>
    <xf numFmtId="0" fontId="0" fillId="0" borderId="7" xfId="0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left" vertical="center" wrapText="1"/>
    </xf>
    <xf numFmtId="0" fontId="24" fillId="5" borderId="12" xfId="0" applyFont="1" applyFill="1" applyBorder="1" applyAlignment="1" applyProtection="1">
      <alignment horizontal="left" vertical="center"/>
    </xf>
    <xf numFmtId="0" fontId="0" fillId="0" borderId="4" xfId="0" applyBorder="1" applyAlignment="1" applyProtection="1">
      <alignment horizontal="left" vertical="center"/>
    </xf>
    <xf numFmtId="0" fontId="27" fillId="5" borderId="12" xfId="0" applyFont="1" applyFill="1" applyBorder="1" applyAlignment="1" applyProtection="1">
      <alignment horizontal="left" vertical="center" wrapText="1"/>
    </xf>
    <xf numFmtId="0" fontId="15" fillId="0" borderId="17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13" fillId="0" borderId="2" xfId="0" applyFont="1" applyBorder="1" applyAlignment="1" applyProtection="1">
      <alignment horizontal="left" vertical="center"/>
    </xf>
    <xf numFmtId="0" fontId="15" fillId="0" borderId="4" xfId="0" applyFont="1" applyBorder="1" applyAlignment="1" applyProtection="1">
      <alignment horizontal="left" vertical="center"/>
    </xf>
    <xf numFmtId="0" fontId="0" fillId="0" borderId="16" xfId="0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/>
    </xf>
    <xf numFmtId="0" fontId="0" fillId="3" borderId="12" xfId="0" applyFill="1" applyBorder="1" applyAlignment="1" applyProtection="1">
      <alignment horizontal="center" vertical="center"/>
    </xf>
    <xf numFmtId="0" fontId="0" fillId="0" borderId="15" xfId="0" applyBorder="1" applyAlignment="1" applyProtection="1">
      <alignment horizontal="left" vertical="center"/>
    </xf>
    <xf numFmtId="0" fontId="39" fillId="0" borderId="2" xfId="0" applyFont="1" applyBorder="1" applyAlignment="1" applyProtection="1">
      <alignment horizontal="left" vertical="center"/>
    </xf>
    <xf numFmtId="0" fontId="0" fillId="0" borderId="0" xfId="0" applyProtection="1">
      <alignment vertical="center"/>
    </xf>
    <xf numFmtId="0" fontId="23" fillId="4" borderId="13" xfId="0" applyFont="1" applyFill="1" applyBorder="1" applyAlignment="1" applyProtection="1">
      <alignment horizontal="left" vertical="center"/>
      <protection locked="0"/>
    </xf>
    <xf numFmtId="0" fontId="23" fillId="4" borderId="14" xfId="0" applyFont="1" applyFill="1" applyBorder="1" applyAlignment="1" applyProtection="1">
      <alignment horizontal="left" vertical="center"/>
      <protection locked="0"/>
    </xf>
    <xf numFmtId="0" fontId="25" fillId="4" borderId="26" xfId="0" quotePrefix="1" applyFont="1" applyFill="1" applyBorder="1" applyAlignment="1" applyProtection="1">
      <alignment vertical="center" shrinkToFit="1"/>
      <protection locked="0"/>
    </xf>
    <xf numFmtId="0" fontId="25" fillId="4" borderId="25" xfId="0" applyFont="1" applyFill="1" applyBorder="1" applyAlignment="1" applyProtection="1">
      <alignment vertical="center"/>
      <protection locked="0"/>
    </xf>
    <xf numFmtId="0" fontId="25" fillId="4" borderId="25" xfId="0" quotePrefix="1" applyFont="1" applyFill="1" applyBorder="1" applyAlignment="1" applyProtection="1">
      <alignment vertical="center"/>
      <protection locked="0"/>
    </xf>
    <xf numFmtId="0" fontId="25" fillId="4" borderId="14" xfId="0" applyFont="1" applyFill="1" applyBorder="1" applyAlignment="1" applyProtection="1">
      <alignment horizontal="left" vertical="center"/>
      <protection locked="0"/>
    </xf>
    <xf numFmtId="0" fontId="25" fillId="4" borderId="27" xfId="0" applyFont="1" applyFill="1" applyBorder="1" applyAlignment="1" applyProtection="1">
      <alignment vertical="center" shrinkToFit="1"/>
      <protection locked="0"/>
    </xf>
    <xf numFmtId="0" fontId="26" fillId="4" borderId="26" xfId="0" applyFont="1" applyFill="1" applyBorder="1" applyAlignment="1" applyProtection="1">
      <alignment horizontal="left" vertical="center"/>
      <protection locked="0"/>
    </xf>
    <xf numFmtId="0" fontId="25" fillId="4" borderId="27" xfId="0" quotePrefix="1" applyFont="1" applyFill="1" applyBorder="1" applyAlignment="1" applyProtection="1">
      <alignment vertical="center" shrinkToFit="1"/>
      <protection locked="0"/>
    </xf>
    <xf numFmtId="0" fontId="24" fillId="4" borderId="12" xfId="0" applyFont="1" applyFill="1" applyBorder="1" applyAlignment="1" applyProtection="1">
      <alignment vertical="center"/>
      <protection locked="0"/>
    </xf>
    <xf numFmtId="14" fontId="0" fillId="4" borderId="25" xfId="0" applyNumberFormat="1" applyFill="1" applyBorder="1" applyAlignment="1" applyProtection="1">
      <alignment horizontal="center" vertical="center"/>
      <protection locked="0"/>
    </xf>
    <xf numFmtId="14" fontId="26" fillId="4" borderId="25" xfId="0" applyNumberFormat="1" applyFont="1" applyFill="1" applyBorder="1" applyAlignment="1" applyProtection="1">
      <alignment horizontal="center" vertical="center"/>
      <protection locked="0"/>
    </xf>
    <xf numFmtId="0" fontId="0" fillId="4" borderId="26" xfId="0" applyFill="1" applyBorder="1" applyAlignment="1" applyProtection="1">
      <alignment horizontal="center" vertical="center"/>
      <protection locked="0"/>
    </xf>
    <xf numFmtId="14" fontId="23" fillId="4" borderId="25" xfId="0" applyNumberFormat="1" applyFont="1" applyFill="1" applyBorder="1" applyAlignment="1" applyProtection="1">
      <alignment vertical="center"/>
      <protection locked="0"/>
    </xf>
    <xf numFmtId="14" fontId="23" fillId="4" borderId="26" xfId="0" applyNumberFormat="1" applyFont="1" applyFill="1" applyBorder="1" applyAlignment="1" applyProtection="1">
      <alignment vertical="center"/>
      <protection locked="0"/>
    </xf>
    <xf numFmtId="14" fontId="32" fillId="4" borderId="26" xfId="0" applyNumberFormat="1" applyFont="1" applyFill="1" applyBorder="1" applyAlignment="1" applyProtection="1">
      <alignment vertical="center"/>
      <protection locked="0"/>
    </xf>
    <xf numFmtId="14" fontId="26" fillId="4" borderId="25" xfId="0" applyNumberFormat="1" applyFont="1" applyFill="1" applyBorder="1" applyAlignment="1" applyProtection="1">
      <alignment vertical="center"/>
      <protection locked="0"/>
    </xf>
    <xf numFmtId="0" fontId="26" fillId="3" borderId="13" xfId="0" applyFont="1" applyFill="1" applyBorder="1" applyAlignment="1" applyProtection="1">
      <alignment horizontal="left" vertical="center"/>
    </xf>
    <xf numFmtId="0" fontId="0" fillId="3" borderId="25" xfId="0" applyFill="1" applyBorder="1" applyAlignment="1" applyProtection="1">
      <alignment horizontal="left" vertical="center"/>
    </xf>
    <xf numFmtId="0" fontId="26" fillId="3" borderId="14" xfId="0" applyFont="1" applyFill="1" applyBorder="1" applyAlignment="1" applyProtection="1">
      <alignment horizontal="left" vertical="center"/>
    </xf>
    <xf numFmtId="0" fontId="0" fillId="3" borderId="29" xfId="0" applyFill="1" applyBorder="1" applyAlignment="1" applyProtection="1">
      <alignment horizontal="left" vertical="center"/>
    </xf>
    <xf numFmtId="0" fontId="23" fillId="4" borderId="26" xfId="0" applyFont="1" applyFill="1" applyBorder="1" applyAlignment="1" applyProtection="1">
      <alignment horizontal="left" vertical="center"/>
      <protection locked="0"/>
    </xf>
    <xf numFmtId="0" fontId="0" fillId="3" borderId="13" xfId="0" applyFill="1" applyBorder="1" applyAlignment="1" applyProtection="1">
      <alignment vertical="center"/>
    </xf>
    <xf numFmtId="0" fontId="23" fillId="5" borderId="26" xfId="0" applyFont="1" applyFill="1" applyBorder="1" applyAlignment="1" applyProtection="1">
      <alignment horizontal="left" vertical="center"/>
    </xf>
    <xf numFmtId="0" fontId="0" fillId="3" borderId="14" xfId="0" applyFill="1" applyBorder="1" applyAlignment="1" applyProtection="1">
      <alignment vertical="center"/>
    </xf>
    <xf numFmtId="0" fontId="0" fillId="3" borderId="30" xfId="0" applyFill="1" applyBorder="1" applyAlignment="1" applyProtection="1">
      <alignment horizontal="left" vertical="center"/>
    </xf>
    <xf numFmtId="0" fontId="0" fillId="3" borderId="14" xfId="0" applyFill="1" applyBorder="1" applyAlignment="1" applyProtection="1">
      <alignment horizontal="left" vertical="center"/>
    </xf>
    <xf numFmtId="0" fontId="0" fillId="3" borderId="13" xfId="0" applyFill="1" applyBorder="1" applyAlignment="1" applyProtection="1">
      <alignment horizontal="left" vertical="center"/>
    </xf>
    <xf numFmtId="14" fontId="28" fillId="0" borderId="27" xfId="0" applyNumberFormat="1" applyFont="1" applyBorder="1" applyAlignment="1" applyProtection="1">
      <alignment horizontal="left" vertical="center" wrapText="1"/>
    </xf>
    <xf numFmtId="0" fontId="0" fillId="3" borderId="28" xfId="0" applyFill="1" applyBorder="1" applyAlignment="1" applyProtection="1">
      <alignment vertical="center"/>
    </xf>
    <xf numFmtId="0" fontId="24" fillId="5" borderId="14" xfId="0" applyFont="1" applyFill="1" applyBorder="1" applyAlignment="1" applyProtection="1">
      <alignment vertical="center"/>
    </xf>
    <xf numFmtId="0" fontId="0" fillId="3" borderId="32" xfId="0" applyFill="1" applyBorder="1" applyAlignment="1" applyProtection="1">
      <alignment vertical="center"/>
    </xf>
    <xf numFmtId="0" fontId="24" fillId="5" borderId="13" xfId="0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  <xf numFmtId="178" fontId="24" fillId="4" borderId="26" xfId="0" applyNumberFormat="1" applyFont="1" applyFill="1" applyBorder="1" applyAlignment="1" applyProtection="1">
      <alignment horizontal="left" vertical="center"/>
      <protection locked="0"/>
    </xf>
    <xf numFmtId="0" fontId="6" fillId="11" borderId="0" xfId="0" applyFont="1" applyFill="1" applyProtection="1">
      <alignment vertical="center"/>
    </xf>
    <xf numFmtId="0" fontId="12" fillId="11" borderId="0" xfId="0" applyFont="1" applyFill="1" applyAlignment="1" applyProtection="1">
      <alignment horizontal="left" vertical="center"/>
    </xf>
    <xf numFmtId="0" fontId="11" fillId="11" borderId="0" xfId="0" applyFont="1" applyFill="1" applyAlignment="1" applyProtection="1">
      <alignment horizontal="left" vertical="center"/>
    </xf>
    <xf numFmtId="0" fontId="7" fillId="11" borderId="0" xfId="0" applyFont="1" applyFill="1" applyAlignment="1" applyProtection="1">
      <alignment horizontal="left" vertical="center"/>
    </xf>
    <xf numFmtId="0" fontId="24" fillId="0" borderId="2" xfId="0" applyFont="1" applyBorder="1" applyAlignment="1" applyProtection="1">
      <alignment horizontal="left" vertical="center"/>
    </xf>
    <xf numFmtId="0" fontId="11" fillId="11" borderId="0" xfId="0" applyFont="1" applyFill="1" applyBorder="1" applyProtection="1">
      <alignment vertical="center"/>
    </xf>
    <xf numFmtId="0" fontId="12" fillId="11" borderId="0" xfId="0" applyFont="1" applyFill="1" applyAlignment="1" applyProtection="1">
      <alignment horizontal="right" vertical="center"/>
    </xf>
    <xf numFmtId="14" fontId="24" fillId="4" borderId="26" xfId="0" applyNumberFormat="1" applyFont="1" applyFill="1" applyBorder="1" applyAlignment="1" applyProtection="1">
      <alignment horizontal="left" vertical="center"/>
      <protection locked="0"/>
    </xf>
    <xf numFmtId="0" fontId="12" fillId="11" borderId="0" xfId="0" applyFont="1" applyFill="1" applyBorder="1" applyProtection="1">
      <alignment vertical="center"/>
    </xf>
    <xf numFmtId="0" fontId="9" fillId="0" borderId="15" xfId="0" applyFont="1" applyBorder="1" applyProtection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0" fillId="0" borderId="34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0" fillId="11" borderId="6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12" fillId="11" borderId="18" xfId="0" applyFont="1" applyFill="1" applyBorder="1" applyAlignment="1" applyProtection="1">
      <alignment horizontal="centerContinuous" vertical="center"/>
    </xf>
    <xf numFmtId="0" fontId="12" fillId="11" borderId="31" xfId="0" applyFont="1" applyFill="1" applyBorder="1" applyAlignment="1" applyProtection="1">
      <alignment horizontal="centerContinuous" vertical="center"/>
    </xf>
    <xf numFmtId="0" fontId="7" fillId="11" borderId="0" xfId="0" applyFont="1" applyFill="1" applyBorder="1" applyAlignment="1" applyProtection="1">
      <alignment horizontal="right" vertical="center"/>
    </xf>
    <xf numFmtId="0" fontId="0" fillId="0" borderId="39" xfId="0" applyBorder="1" applyAlignment="1" applyProtection="1">
      <alignment horizontal="left" vertical="center"/>
    </xf>
    <xf numFmtId="0" fontId="25" fillId="4" borderId="13" xfId="0" applyFont="1" applyFill="1" applyBorder="1" applyAlignment="1" applyProtection="1">
      <alignment horizontal="left" vertical="center"/>
      <protection locked="0"/>
    </xf>
    <xf numFmtId="0" fontId="25" fillId="4" borderId="30" xfId="0" applyFont="1" applyFill="1" applyBorder="1" applyAlignment="1" applyProtection="1">
      <alignment horizontal="left" vertical="center"/>
      <protection locked="0"/>
    </xf>
    <xf numFmtId="49" fontId="23" fillId="4" borderId="12" xfId="0" applyNumberFormat="1" applyFont="1" applyFill="1" applyBorder="1" applyAlignment="1" applyProtection="1">
      <alignment horizontal="left" vertical="center"/>
      <protection locked="0"/>
    </xf>
    <xf numFmtId="49" fontId="25" fillId="4" borderId="12" xfId="0" applyNumberFormat="1" applyFont="1" applyFill="1" applyBorder="1" applyAlignment="1" applyProtection="1">
      <alignment vertical="center"/>
      <protection locked="0"/>
    </xf>
    <xf numFmtId="14" fontId="0" fillId="2" borderId="12" xfId="0" applyNumberFormat="1" applyFill="1" applyBorder="1" applyAlignment="1" applyProtection="1">
      <alignment horizontal="center" vertical="center"/>
    </xf>
    <xf numFmtId="0" fontId="0" fillId="2" borderId="12" xfId="0" applyFill="1" applyBorder="1" applyAlignment="1" applyProtection="1">
      <alignment horizontal="center" vertical="center"/>
    </xf>
    <xf numFmtId="0" fontId="4" fillId="2" borderId="12" xfId="0" applyFont="1" applyFill="1" applyBorder="1" applyAlignment="1" applyProtection="1">
      <alignment horizontal="left" vertical="center"/>
    </xf>
    <xf numFmtId="14" fontId="26" fillId="2" borderId="12" xfId="0" applyNumberFormat="1" applyFont="1" applyFill="1" applyBorder="1" applyAlignment="1" applyProtection="1">
      <alignment horizontal="center" vertical="center"/>
    </xf>
    <xf numFmtId="0" fontId="26" fillId="2" borderId="12" xfId="0" applyFont="1" applyFill="1" applyBorder="1" applyAlignment="1" applyProtection="1">
      <alignment horizontal="center" vertical="center"/>
    </xf>
    <xf numFmtId="0" fontId="31" fillId="2" borderId="12" xfId="0" applyFont="1" applyFill="1" applyBorder="1" applyAlignment="1" applyProtection="1">
      <alignment horizontal="left" vertical="center"/>
    </xf>
    <xf numFmtId="0" fontId="26" fillId="2" borderId="12" xfId="0" quotePrefix="1" applyFont="1" applyFill="1" applyBorder="1" applyAlignment="1" applyProtection="1">
      <alignment horizontal="left" vertical="center"/>
    </xf>
    <xf numFmtId="0" fontId="26" fillId="2" borderId="12" xfId="0" applyFont="1" applyFill="1" applyBorder="1" applyAlignment="1" applyProtection="1">
      <alignment horizontal="left" vertical="center" shrinkToFit="1"/>
    </xf>
    <xf numFmtId="0" fontId="26" fillId="2" borderId="12" xfId="0" applyFont="1" applyFill="1" applyBorder="1" applyAlignment="1" applyProtection="1">
      <alignment horizontal="left" vertical="center"/>
    </xf>
    <xf numFmtId="14" fontId="15" fillId="2" borderId="12" xfId="0" applyNumberFormat="1" applyFont="1" applyFill="1" applyBorder="1" applyAlignment="1" applyProtection="1">
      <alignment horizontal="center" vertical="center"/>
    </xf>
    <xf numFmtId="0" fontId="15" fillId="2" borderId="12" xfId="0" quotePrefix="1" applyFont="1" applyFill="1" applyBorder="1" applyAlignment="1" applyProtection="1">
      <alignment horizontal="left" vertical="center"/>
    </xf>
    <xf numFmtId="0" fontId="0" fillId="2" borderId="12" xfId="0" applyFill="1" applyBorder="1" applyAlignment="1" applyProtection="1">
      <alignment horizontal="left" vertical="center" shrinkToFit="1"/>
    </xf>
    <xf numFmtId="14" fontId="67" fillId="2" borderId="12" xfId="0" applyNumberFormat="1" applyFont="1" applyFill="1" applyBorder="1" applyAlignment="1" applyProtection="1">
      <alignment horizontal="center" vertical="center"/>
    </xf>
    <xf numFmtId="0" fontId="68" fillId="2" borderId="12" xfId="0" applyFont="1" applyFill="1" applyBorder="1" applyAlignment="1" applyProtection="1">
      <alignment horizontal="left" vertical="center" shrinkToFit="1"/>
    </xf>
    <xf numFmtId="0" fontId="23" fillId="5" borderId="14" xfId="0" applyFont="1" applyFill="1" applyBorder="1" applyAlignment="1" applyProtection="1">
      <alignment horizontal="left" vertical="center"/>
    </xf>
    <xf numFmtId="0" fontId="15" fillId="0" borderId="5" xfId="0" applyFont="1" applyBorder="1" applyAlignment="1" applyProtection="1">
      <alignment horizontal="left" vertical="center"/>
    </xf>
    <xf numFmtId="0" fontId="26" fillId="3" borderId="12" xfId="0" applyFont="1" applyFill="1" applyBorder="1" applyAlignment="1" applyProtection="1">
      <alignment vertical="center"/>
    </xf>
    <xf numFmtId="0" fontId="13" fillId="11" borderId="0" xfId="0" applyFont="1" applyFill="1" applyProtection="1">
      <alignment vertical="center"/>
    </xf>
    <xf numFmtId="0" fontId="0" fillId="0" borderId="33" xfId="0" applyNumberFormat="1" applyBorder="1" applyAlignment="1">
      <alignment horizontal="center" vertical="center"/>
    </xf>
    <xf numFmtId="0" fontId="0" fillId="0" borderId="35" xfId="0" applyNumberFormat="1" applyBorder="1" applyAlignment="1">
      <alignment horizontal="center" vertical="center"/>
    </xf>
    <xf numFmtId="0" fontId="37" fillId="0" borderId="0" xfId="1" applyProtection="1">
      <alignment vertical="center"/>
      <protection locked="0"/>
    </xf>
    <xf numFmtId="0" fontId="37" fillId="0" borderId="0" xfId="1" applyAlignment="1" applyProtection="1">
      <alignment horizontal="center" vertical="center"/>
      <protection locked="0"/>
    </xf>
    <xf numFmtId="0" fontId="37" fillId="0" borderId="0" xfId="1" applyAlignment="1" applyProtection="1">
      <alignment horizontal="center" vertical="center" shrinkToFit="1"/>
      <protection locked="0"/>
    </xf>
    <xf numFmtId="49" fontId="37" fillId="0" borderId="0" xfId="1" applyNumberFormat="1" applyAlignment="1" applyProtection="1">
      <alignment horizontal="center" vertical="center"/>
      <protection locked="0"/>
    </xf>
    <xf numFmtId="14" fontId="37" fillId="0" borderId="0" xfId="1" applyNumberFormat="1" applyAlignment="1" applyProtection="1">
      <alignment horizontal="center" vertical="center"/>
      <protection locked="0"/>
    </xf>
    <xf numFmtId="0" fontId="48" fillId="0" borderId="22" xfId="1" applyFont="1" applyBorder="1" applyAlignment="1" applyProtection="1">
      <alignment horizontal="center" vertical="center"/>
      <protection locked="0"/>
    </xf>
    <xf numFmtId="0" fontId="48" fillId="5" borderId="23" xfId="1" applyFont="1" applyFill="1" applyBorder="1" applyAlignment="1" applyProtection="1">
      <alignment horizontal="center" vertical="center"/>
      <protection locked="0"/>
    </xf>
    <xf numFmtId="0" fontId="48" fillId="0" borderId="23" xfId="1" applyFont="1" applyFill="1" applyBorder="1" applyAlignment="1" applyProtection="1">
      <alignment horizontal="center" vertical="center"/>
      <protection locked="0"/>
    </xf>
    <xf numFmtId="0" fontId="48" fillId="0" borderId="23" xfId="1" applyFont="1" applyBorder="1" applyAlignment="1" applyProtection="1">
      <alignment horizontal="center" vertical="center"/>
      <protection locked="0"/>
    </xf>
    <xf numFmtId="0" fontId="48" fillId="5" borderId="23" xfId="1" applyFont="1" applyFill="1" applyBorder="1" applyAlignment="1" applyProtection="1">
      <alignment horizontal="center" vertical="center" wrapText="1"/>
      <protection locked="0"/>
    </xf>
    <xf numFmtId="0" fontId="61" fillId="0" borderId="23" xfId="1" applyFont="1" applyBorder="1" applyAlignment="1" applyProtection="1">
      <alignment horizontal="center" vertical="center" wrapText="1"/>
      <protection locked="0"/>
    </xf>
    <xf numFmtId="0" fontId="61" fillId="0" borderId="23" xfId="1" applyFont="1" applyBorder="1" applyAlignment="1" applyProtection="1">
      <alignment vertical="center" wrapText="1"/>
      <protection locked="0"/>
    </xf>
    <xf numFmtId="0" fontId="61" fillId="0" borderId="24" xfId="1" applyFont="1" applyBorder="1" applyAlignment="1" applyProtection="1">
      <alignment vertical="center" wrapText="1"/>
      <protection locked="0"/>
    </xf>
    <xf numFmtId="0" fontId="62" fillId="0" borderId="0" xfId="1" applyFont="1" applyAlignment="1" applyProtection="1">
      <alignment vertical="center"/>
      <protection locked="0"/>
    </xf>
    <xf numFmtId="0" fontId="61" fillId="0" borderId="23" xfId="1" applyFont="1" applyFill="1" applyBorder="1" applyAlignment="1" applyProtection="1">
      <alignment horizontal="center" vertical="center"/>
      <protection locked="0"/>
    </xf>
    <xf numFmtId="0" fontId="46" fillId="10" borderId="23" xfId="1" applyFont="1" applyFill="1" applyBorder="1" applyAlignment="1" applyProtection="1">
      <alignment vertical="center"/>
      <protection locked="0"/>
    </xf>
    <xf numFmtId="0" fontId="59" fillId="10" borderId="23" xfId="1" applyFont="1" applyFill="1" applyBorder="1" applyAlignment="1" applyProtection="1">
      <alignment horizontal="center" vertical="center" wrapText="1" shrinkToFit="1"/>
      <protection locked="0"/>
    </xf>
    <xf numFmtId="0" fontId="46" fillId="10" borderId="23" xfId="1" applyFont="1" applyFill="1" applyBorder="1" applyAlignment="1" applyProtection="1">
      <alignment vertical="center" shrinkToFit="1"/>
      <protection locked="0"/>
    </xf>
    <xf numFmtId="176" fontId="60" fillId="10" borderId="23" xfId="0" applyNumberFormat="1" applyFont="1" applyFill="1" applyBorder="1" applyAlignment="1" applyProtection="1">
      <alignment horizontal="center" vertical="center" wrapText="1"/>
      <protection locked="0"/>
    </xf>
    <xf numFmtId="0" fontId="60" fillId="10" borderId="23" xfId="1" applyFont="1" applyFill="1" applyBorder="1" applyAlignment="1" applyProtection="1">
      <alignment horizontal="center" vertical="center" wrapText="1" shrinkToFit="1"/>
      <protection locked="0"/>
    </xf>
    <xf numFmtId="49" fontId="60" fillId="10" borderId="23" xfId="1" applyNumberFormat="1" applyFont="1" applyFill="1" applyBorder="1" applyAlignment="1" applyProtection="1">
      <alignment horizontal="center" vertical="center" wrapText="1"/>
      <protection locked="0"/>
    </xf>
    <xf numFmtId="0" fontId="60" fillId="10" borderId="23" xfId="1" applyFont="1" applyFill="1" applyBorder="1" applyAlignment="1" applyProtection="1">
      <alignment vertical="center" wrapText="1"/>
      <protection locked="0"/>
    </xf>
    <xf numFmtId="0" fontId="46" fillId="10" borderId="23" xfId="3" applyFont="1" applyFill="1" applyBorder="1" applyAlignment="1" applyProtection="1">
      <alignment vertical="center"/>
      <protection locked="0"/>
    </xf>
    <xf numFmtId="0" fontId="60" fillId="10" borderId="23" xfId="1" applyFont="1" applyFill="1" applyBorder="1" applyAlignment="1" applyProtection="1">
      <alignment horizontal="center" vertical="center" wrapText="1"/>
      <protection locked="0"/>
    </xf>
    <xf numFmtId="0" fontId="48" fillId="10" borderId="23" xfId="1" applyFont="1" applyFill="1" applyBorder="1" applyAlignment="1" applyProtection="1">
      <alignment vertical="center" wrapText="1"/>
      <protection locked="0"/>
    </xf>
    <xf numFmtId="0" fontId="46" fillId="10" borderId="23" xfId="1" applyFont="1" applyFill="1" applyBorder="1" applyAlignment="1" applyProtection="1">
      <alignment vertical="center" wrapText="1"/>
      <protection locked="0"/>
    </xf>
    <xf numFmtId="0" fontId="46" fillId="10" borderId="24" xfId="1" applyFont="1" applyFill="1" applyBorder="1" applyAlignment="1" applyProtection="1">
      <alignment vertical="center" wrapText="1"/>
      <protection locked="0"/>
    </xf>
    <xf numFmtId="0" fontId="49" fillId="0" borderId="0" xfId="1" applyFont="1" applyProtection="1">
      <alignment vertical="center"/>
      <protection locked="0"/>
    </xf>
    <xf numFmtId="0" fontId="58" fillId="10" borderId="22" xfId="1" applyFont="1" applyFill="1" applyBorder="1" applyAlignment="1" applyProtection="1">
      <alignment horizontal="center" vertical="center"/>
      <protection locked="0"/>
    </xf>
    <xf numFmtId="0" fontId="46" fillId="10" borderId="23" xfId="1" applyFont="1" applyFill="1" applyBorder="1" applyAlignment="1" applyProtection="1">
      <alignment horizontal="center" vertical="center"/>
      <protection locked="0"/>
    </xf>
    <xf numFmtId="0" fontId="46" fillId="10" borderId="23" xfId="1" applyFont="1" applyFill="1" applyBorder="1" applyAlignment="1" applyProtection="1">
      <alignment horizontal="center" vertical="center" shrinkToFit="1"/>
      <protection locked="0"/>
    </xf>
    <xf numFmtId="176" fontId="46" fillId="10" borderId="23" xfId="0" applyNumberFormat="1" applyFont="1" applyFill="1" applyBorder="1" applyAlignment="1" applyProtection="1">
      <alignment horizontal="center" vertical="center" wrapText="1"/>
      <protection locked="0"/>
    </xf>
    <xf numFmtId="49" fontId="46" fillId="10" borderId="23" xfId="1" applyNumberFormat="1" applyFont="1" applyFill="1" applyBorder="1" applyAlignment="1" applyProtection="1">
      <alignment horizontal="center" vertical="center" wrapText="1"/>
      <protection locked="0"/>
    </xf>
    <xf numFmtId="178" fontId="46" fillId="10" borderId="23" xfId="3" applyNumberFormat="1" applyFont="1" applyFill="1" applyBorder="1" applyAlignment="1" applyProtection="1">
      <alignment horizontal="center" vertical="center"/>
      <protection locked="0"/>
    </xf>
    <xf numFmtId="0" fontId="46" fillId="10" borderId="23" xfId="1" applyFont="1" applyFill="1" applyBorder="1" applyAlignment="1" applyProtection="1">
      <alignment horizontal="center" vertical="center" wrapText="1"/>
      <protection locked="0"/>
    </xf>
    <xf numFmtId="49" fontId="46" fillId="10" borderId="23" xfId="1" applyNumberFormat="1" applyFont="1" applyFill="1" applyBorder="1" applyAlignment="1" applyProtection="1">
      <alignment horizontal="center" vertical="center"/>
      <protection locked="0"/>
    </xf>
    <xf numFmtId="0" fontId="46" fillId="10" borderId="23" xfId="3" applyFont="1" applyFill="1" applyBorder="1" applyAlignment="1" applyProtection="1">
      <alignment horizontal="center" vertical="center"/>
      <protection locked="0"/>
    </xf>
    <xf numFmtId="0" fontId="58" fillId="10" borderId="40" xfId="1" applyFont="1" applyFill="1" applyBorder="1" applyAlignment="1" applyProtection="1">
      <alignment horizontal="center" vertical="center"/>
      <protection locked="0"/>
    </xf>
    <xf numFmtId="0" fontId="46" fillId="10" borderId="41" xfId="1" applyFont="1" applyFill="1" applyBorder="1" applyAlignment="1" applyProtection="1">
      <alignment horizontal="center" vertical="center"/>
      <protection locked="0"/>
    </xf>
    <xf numFmtId="0" fontId="46" fillId="10" borderId="41" xfId="1" applyFont="1" applyFill="1" applyBorder="1" applyAlignment="1" applyProtection="1">
      <alignment vertical="center" shrinkToFit="1"/>
      <protection locked="0"/>
    </xf>
    <xf numFmtId="0" fontId="46" fillId="10" borderId="41" xfId="1" applyFont="1" applyFill="1" applyBorder="1" applyAlignment="1" applyProtection="1">
      <alignment horizontal="center" vertical="center" shrinkToFit="1"/>
      <protection locked="0"/>
    </xf>
    <xf numFmtId="176" fontId="46" fillId="10" borderId="41" xfId="0" applyNumberFormat="1" applyFont="1" applyFill="1" applyBorder="1" applyAlignment="1" applyProtection="1">
      <alignment horizontal="center" vertical="center" wrapText="1"/>
      <protection locked="0"/>
    </xf>
    <xf numFmtId="49" fontId="46" fillId="10" borderId="41" xfId="1" applyNumberFormat="1" applyFont="1" applyFill="1" applyBorder="1" applyAlignment="1" applyProtection="1">
      <alignment horizontal="center" vertical="center"/>
      <protection locked="0"/>
    </xf>
    <xf numFmtId="178" fontId="46" fillId="10" borderId="41" xfId="3" applyNumberFormat="1" applyFont="1" applyFill="1" applyBorder="1" applyAlignment="1" applyProtection="1">
      <alignment horizontal="center" vertical="center"/>
      <protection locked="0"/>
    </xf>
    <xf numFmtId="0" fontId="46" fillId="10" borderId="41" xfId="1" applyFont="1" applyFill="1" applyBorder="1" applyAlignment="1" applyProtection="1">
      <alignment horizontal="center" vertical="center" wrapText="1"/>
      <protection locked="0"/>
    </xf>
    <xf numFmtId="0" fontId="46" fillId="10" borderId="41" xfId="1" applyFont="1" applyFill="1" applyBorder="1" applyAlignment="1" applyProtection="1">
      <alignment vertical="center" wrapText="1"/>
      <protection locked="0"/>
    </xf>
    <xf numFmtId="0" fontId="46" fillId="10" borderId="42" xfId="1" applyFont="1" applyFill="1" applyBorder="1" applyAlignment="1" applyProtection="1">
      <alignment vertical="center" wrapText="1"/>
      <protection locked="0"/>
    </xf>
    <xf numFmtId="0" fontId="37" fillId="0" borderId="0" xfId="1" applyAlignment="1" applyProtection="1">
      <alignment vertical="center" shrinkToFit="1"/>
      <protection locked="0"/>
    </xf>
    <xf numFmtId="0" fontId="58" fillId="10" borderId="22" xfId="1" applyFont="1" applyFill="1" applyBorder="1" applyAlignment="1" applyProtection="1">
      <alignment horizontal="center" vertical="center" wrapText="1"/>
      <protection locked="0"/>
    </xf>
    <xf numFmtId="0" fontId="48" fillId="0" borderId="23" xfId="1" applyFont="1" applyFill="1" applyBorder="1" applyAlignment="1" applyProtection="1">
      <alignment horizontal="center" vertical="center" shrinkToFit="1"/>
      <protection locked="0"/>
    </xf>
    <xf numFmtId="176" fontId="6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61" fillId="0" borderId="23" xfId="1" applyFont="1" applyFill="1" applyBorder="1" applyAlignment="1" applyProtection="1">
      <alignment horizontal="center" vertical="center" shrinkToFit="1"/>
      <protection locked="0"/>
    </xf>
    <xf numFmtId="0" fontId="48" fillId="0" borderId="23" xfId="1" applyFont="1" applyFill="1" applyBorder="1" applyAlignment="1" applyProtection="1">
      <alignment horizontal="center" vertical="center" wrapText="1"/>
      <protection locked="0"/>
    </xf>
    <xf numFmtId="178" fontId="48" fillId="0" borderId="23" xfId="3" applyNumberFormat="1" applyFont="1" applyFill="1" applyBorder="1" applyAlignment="1" applyProtection="1">
      <alignment horizontal="center" vertical="center"/>
      <protection locked="0"/>
    </xf>
    <xf numFmtId="0" fontId="15" fillId="5" borderId="30" xfId="0" quotePrefix="1" applyFont="1" applyFill="1" applyBorder="1" applyAlignment="1" applyProtection="1">
      <alignment vertical="top" wrapText="1"/>
      <protection locked="0"/>
    </xf>
    <xf numFmtId="14" fontId="29" fillId="0" borderId="26" xfId="0" applyNumberFormat="1" applyFont="1" applyBorder="1" applyAlignment="1" applyProtection="1">
      <alignment horizontal="left" vertical="center" wrapText="1"/>
    </xf>
    <xf numFmtId="178" fontId="6" fillId="4" borderId="26" xfId="0" applyNumberFormat="1" applyFont="1" applyFill="1" applyBorder="1" applyAlignment="1" applyProtection="1">
      <alignment horizontal="center" vertical="center"/>
      <protection locked="0"/>
    </xf>
    <xf numFmtId="178" fontId="58" fillId="10" borderId="23" xfId="3" applyNumberFormat="1" applyFont="1" applyFill="1" applyBorder="1" applyAlignment="1" applyProtection="1">
      <alignment horizontal="center" vertical="center" wrapText="1"/>
      <protection locked="0"/>
    </xf>
    <xf numFmtId="0" fontId="37" fillId="0" borderId="0" xfId="1" applyProtection="1">
      <alignment vertical="center"/>
      <protection hidden="1"/>
    </xf>
    <xf numFmtId="0" fontId="63" fillId="4" borderId="0" xfId="1" applyFont="1" applyFill="1" applyAlignment="1" applyProtection="1">
      <alignment horizontal="left" vertical="center"/>
      <protection hidden="1"/>
    </xf>
    <xf numFmtId="0" fontId="37" fillId="4" borderId="0" xfId="1" applyFill="1" applyAlignment="1" applyProtection="1">
      <alignment horizontal="center" vertical="center"/>
      <protection hidden="1"/>
    </xf>
    <xf numFmtId="0" fontId="37" fillId="4" borderId="0" xfId="1" applyFill="1" applyAlignment="1" applyProtection="1">
      <alignment vertical="center" shrinkToFit="1"/>
      <protection hidden="1"/>
    </xf>
    <xf numFmtId="0" fontId="37" fillId="4" borderId="0" xfId="1" applyFill="1" applyAlignment="1" applyProtection="1">
      <alignment horizontal="center" vertical="center" shrinkToFit="1"/>
      <protection hidden="1"/>
    </xf>
    <xf numFmtId="49" fontId="37" fillId="4" borderId="0" xfId="1" applyNumberFormat="1" applyFill="1" applyAlignment="1" applyProtection="1">
      <alignment horizontal="center" vertical="center"/>
      <protection hidden="1"/>
    </xf>
    <xf numFmtId="14" fontId="37" fillId="4" borderId="0" xfId="1" applyNumberFormat="1" applyFill="1" applyAlignment="1" applyProtection="1">
      <alignment horizontal="center" vertical="center"/>
      <protection hidden="1"/>
    </xf>
    <xf numFmtId="0" fontId="37" fillId="0" borderId="0" xfId="1" applyAlignment="1" applyProtection="1">
      <alignment horizontal="center" vertical="center"/>
      <protection hidden="1"/>
    </xf>
    <xf numFmtId="0" fontId="37" fillId="0" borderId="0" xfId="1" applyAlignment="1" applyProtection="1">
      <alignment horizontal="center" vertical="center" shrinkToFit="1"/>
      <protection hidden="1"/>
    </xf>
    <xf numFmtId="49" fontId="37" fillId="0" borderId="0" xfId="1" applyNumberFormat="1" applyAlignment="1" applyProtection="1">
      <alignment horizontal="center" vertical="center"/>
      <protection hidden="1"/>
    </xf>
    <xf numFmtId="14" fontId="37" fillId="0" borderId="0" xfId="1" applyNumberForma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41" fillId="6" borderId="19" xfId="2" applyFont="1" applyFill="1" applyBorder="1" applyAlignment="1" applyProtection="1">
      <alignment horizontal="center" vertical="center" shrinkToFit="1"/>
      <protection hidden="1"/>
    </xf>
    <xf numFmtId="0" fontId="41" fillId="6" borderId="20" xfId="2" applyFont="1" applyFill="1" applyBorder="1" applyAlignment="1" applyProtection="1">
      <alignment horizontal="center" vertical="center" wrapText="1" shrinkToFit="1"/>
      <protection hidden="1"/>
    </xf>
    <xf numFmtId="0" fontId="41" fillId="7" borderId="20" xfId="2" applyFont="1" applyFill="1" applyBorder="1" applyAlignment="1" applyProtection="1">
      <alignment horizontal="center" vertical="center" shrinkToFit="1"/>
      <protection hidden="1"/>
    </xf>
    <xf numFmtId="0" fontId="41" fillId="6" borderId="20" xfId="2" applyFont="1" applyFill="1" applyBorder="1" applyAlignment="1" applyProtection="1">
      <alignment horizontal="center" vertical="center" shrinkToFit="1"/>
      <protection hidden="1"/>
    </xf>
    <xf numFmtId="0" fontId="42" fillId="8" borderId="20" xfId="2" applyFont="1" applyFill="1" applyBorder="1" applyAlignment="1" applyProtection="1">
      <alignment horizontal="center" vertical="center" wrapText="1" shrinkToFit="1"/>
      <protection hidden="1"/>
    </xf>
    <xf numFmtId="0" fontId="41" fillId="7" borderId="20" xfId="2" applyFont="1" applyFill="1" applyBorder="1" applyAlignment="1" applyProtection="1">
      <alignment horizontal="center" vertical="center" wrapText="1" shrinkToFit="1"/>
      <protection hidden="1"/>
    </xf>
    <xf numFmtId="0" fontId="41" fillId="8" borderId="20" xfId="2" applyFont="1" applyFill="1" applyBorder="1" applyAlignment="1" applyProtection="1">
      <alignment horizontal="center" vertical="center" wrapText="1" shrinkToFit="1"/>
      <protection hidden="1"/>
    </xf>
    <xf numFmtId="176" fontId="41" fillId="7" borderId="20" xfId="2" applyNumberFormat="1" applyFont="1" applyFill="1" applyBorder="1" applyAlignment="1" applyProtection="1">
      <alignment horizontal="center" vertical="center" shrinkToFit="1"/>
      <protection hidden="1"/>
    </xf>
    <xf numFmtId="177" fontId="41" fillId="6" borderId="20" xfId="2" applyNumberFormat="1" applyFont="1" applyFill="1" applyBorder="1" applyAlignment="1" applyProtection="1">
      <alignment horizontal="center" vertical="center" shrinkToFit="1"/>
      <protection hidden="1"/>
    </xf>
    <xf numFmtId="49" fontId="41" fillId="7" borderId="20" xfId="2" applyNumberFormat="1" applyFont="1" applyFill="1" applyBorder="1" applyAlignment="1" applyProtection="1">
      <alignment horizontal="center" vertical="center" shrinkToFit="1"/>
      <protection hidden="1"/>
    </xf>
    <xf numFmtId="14" fontId="41" fillId="8" borderId="20" xfId="2" applyNumberFormat="1" applyFont="1" applyFill="1" applyBorder="1" applyAlignment="1" applyProtection="1">
      <alignment horizontal="center" vertical="center" wrapText="1" shrinkToFit="1"/>
      <protection hidden="1"/>
    </xf>
    <xf numFmtId="0" fontId="41" fillId="6" borderId="20" xfId="2" applyFont="1" applyFill="1" applyBorder="1" applyAlignment="1" applyProtection="1">
      <alignment horizontal="center" vertical="center" wrapText="1"/>
      <protection hidden="1"/>
    </xf>
    <xf numFmtId="0" fontId="41" fillId="8" borderId="20" xfId="2" applyFont="1" applyFill="1" applyBorder="1" applyAlignment="1" applyProtection="1">
      <alignment horizontal="center" vertical="center" wrapText="1"/>
      <protection hidden="1"/>
    </xf>
    <xf numFmtId="0" fontId="41" fillId="9" borderId="20" xfId="2" applyFont="1" applyFill="1" applyBorder="1" applyAlignment="1" applyProtection="1">
      <alignment horizontal="center" vertical="center" wrapText="1"/>
      <protection hidden="1"/>
    </xf>
    <xf numFmtId="0" fontId="41" fillId="8" borderId="21" xfId="2" applyFont="1" applyFill="1" applyBorder="1" applyAlignment="1" applyProtection="1">
      <alignment horizontal="center" vertical="center" wrapText="1"/>
      <protection hidden="1"/>
    </xf>
    <xf numFmtId="0" fontId="45" fillId="0" borderId="0" xfId="1" applyFont="1" applyProtection="1">
      <alignment vertical="center"/>
      <protection hidden="1"/>
    </xf>
    <xf numFmtId="49" fontId="61" fillId="0" borderId="23" xfId="1" applyNumberFormat="1" applyFont="1" applyFill="1" applyBorder="1" applyAlignment="1" applyProtection="1">
      <alignment horizontal="center" vertical="center"/>
      <protection locked="0"/>
    </xf>
    <xf numFmtId="0" fontId="48" fillId="0" borderId="23" xfId="1" applyFont="1" applyBorder="1" applyAlignment="1" applyProtection="1">
      <alignment horizontal="center" vertical="center" wrapText="1"/>
      <protection locked="0"/>
    </xf>
    <xf numFmtId="0" fontId="61" fillId="0" borderId="23" xfId="1" applyFont="1" applyBorder="1" applyAlignment="1" applyProtection="1">
      <alignment horizontal="center" vertical="center" wrapText="1" shrinkToFit="1"/>
      <protection locked="0"/>
    </xf>
    <xf numFmtId="0" fontId="61" fillId="0" borderId="23" xfId="3" applyFont="1" applyBorder="1" applyAlignment="1" applyProtection="1">
      <alignment horizontal="center" vertical="center" wrapText="1"/>
      <protection locked="0"/>
    </xf>
    <xf numFmtId="0" fontId="61" fillId="0" borderId="23" xfId="1" applyFont="1" applyFill="1" applyBorder="1" applyAlignment="1" applyProtection="1">
      <alignment horizontal="center" vertical="center" wrapText="1" shrinkToFit="1"/>
      <protection locked="0"/>
    </xf>
    <xf numFmtId="0" fontId="56" fillId="0" borderId="0" xfId="1" applyFont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left" vertical="center" wrapText="1"/>
    </xf>
    <xf numFmtId="0" fontId="0" fillId="3" borderId="13" xfId="0" applyFill="1" applyBorder="1" applyAlignment="1" applyProtection="1">
      <alignment horizontal="center" vertical="center"/>
    </xf>
    <xf numFmtId="0" fontId="2" fillId="11" borderId="1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left" vertical="center" wrapText="1"/>
    </xf>
    <xf numFmtId="0" fontId="9" fillId="3" borderId="10" xfId="0" applyFont="1" applyFill="1" applyBorder="1" applyAlignment="1" applyProtection="1">
      <alignment horizontal="left" vertical="center" wrapText="1"/>
    </xf>
    <xf numFmtId="0" fontId="9" fillId="3" borderId="11" xfId="0" applyFont="1" applyFill="1" applyBorder="1" applyAlignment="1" applyProtection="1">
      <alignment horizontal="left" vertical="center" wrapText="1"/>
    </xf>
    <xf numFmtId="0" fontId="0" fillId="3" borderId="25" xfId="0" applyFill="1" applyBorder="1" applyAlignment="1" applyProtection="1">
      <alignment horizontal="center" vertical="center"/>
    </xf>
    <xf numFmtId="0" fontId="0" fillId="3" borderId="26" xfId="0" applyFill="1" applyBorder="1" applyAlignment="1" applyProtection="1">
      <alignment horizontal="center" vertical="center"/>
    </xf>
    <xf numFmtId="14" fontId="15" fillId="2" borderId="25" xfId="0" applyNumberFormat="1" applyFont="1" applyFill="1" applyBorder="1" applyAlignment="1" applyProtection="1">
      <alignment horizontal="center" vertical="center"/>
    </xf>
    <xf numFmtId="14" fontId="15" fillId="2" borderId="26" xfId="0" applyNumberFormat="1" applyFont="1" applyFill="1" applyBorder="1" applyAlignment="1" applyProtection="1">
      <alignment horizontal="center" vertical="center"/>
    </xf>
    <xf numFmtId="0" fontId="12" fillId="11" borderId="0" xfId="0" applyFont="1" applyFill="1" applyBorder="1" applyAlignment="1" applyProtection="1">
      <alignment horizontal="left" vertical="center" wrapText="1"/>
    </xf>
  </cellXfs>
  <cellStyles count="4">
    <cellStyle name="표준" xfId="0" builtinId="0"/>
    <cellStyle name="표준 3" xfId="3" xr:uid="{42EF3E1A-610F-4782-ACA1-29122920D91C}"/>
    <cellStyle name="표준 4" xfId="1" xr:uid="{4A112DAD-E5E1-4AB4-B8F1-B26C4BE41FA3}"/>
    <cellStyle name="표준_Sheet1" xfId="2" xr:uid="{B2EA55B3-CB2F-4AE3-B889-DCBC80E556E0}"/>
  </cellStyles>
  <dxfs count="0"/>
  <tableStyles count="0" defaultTableStyle="TableStyleMedium2" defaultPivotStyle="PivotStyleLight16"/>
  <colors>
    <mruColors>
      <color rgb="FF0000FF"/>
      <color rgb="FFFFFFCC"/>
      <color rgb="FF0099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38D0-B96F-4E55-B1BC-25535AD86B4E}">
  <dimension ref="A1:AF16"/>
  <sheetViews>
    <sheetView tabSelected="1" zoomScale="85" zoomScaleNormal="85" workbookViewId="0">
      <pane ySplit="4" topLeftCell="A5" activePane="bottomLeft" state="frozen"/>
      <selection pane="bottomLeft" activeCell="A5" sqref="A5"/>
    </sheetView>
  </sheetViews>
  <sheetFormatPr defaultRowHeight="16.5"/>
  <cols>
    <col min="1" max="2" width="6" style="131" customWidth="1"/>
    <col min="3" max="3" width="17" style="177" customWidth="1"/>
    <col min="4" max="4" width="8.75" style="131" customWidth="1"/>
    <col min="5" max="5" width="5.375" style="131" customWidth="1"/>
    <col min="6" max="6" width="5.75" style="132" customWidth="1"/>
    <col min="7" max="7" width="6.125" style="131" customWidth="1"/>
    <col min="8" max="8" width="9.125" style="131" customWidth="1"/>
    <col min="9" max="9" width="14.5" style="131" customWidth="1"/>
    <col min="10" max="10" width="4.375" style="131" customWidth="1"/>
    <col min="11" max="11" width="12.25" style="132" customWidth="1"/>
    <col min="12" max="12" width="9" style="131"/>
    <col min="13" max="13" width="13.625" style="133" customWidth="1"/>
    <col min="14" max="14" width="11" style="134" customWidth="1"/>
    <col min="15" max="15" width="9.125" style="131" customWidth="1"/>
    <col min="16" max="16" width="10.25" style="131" customWidth="1"/>
    <col min="17" max="18" width="13.25" style="131" customWidth="1"/>
    <col min="19" max="19" width="15.25" style="131" customWidth="1"/>
    <col min="20" max="20" width="12" style="131" customWidth="1"/>
    <col min="21" max="21" width="12.5" style="131" customWidth="1"/>
    <col min="22" max="22" width="9.25" style="131" customWidth="1"/>
    <col min="23" max="23" width="11.5" style="131" customWidth="1"/>
    <col min="24" max="24" width="12.5" style="131" customWidth="1"/>
    <col min="25" max="26" width="13.25" style="131" customWidth="1"/>
    <col min="27" max="27" width="13.125" style="131" customWidth="1"/>
    <col min="28" max="28" width="15.375" style="131" customWidth="1"/>
    <col min="29" max="29" width="44" style="130" customWidth="1"/>
    <col min="30" max="30" width="13.5" style="130" customWidth="1"/>
    <col min="31" max="32" width="14.625" style="130" customWidth="1"/>
    <col min="33" max="16384" width="9" style="130"/>
  </cols>
  <sheetData>
    <row r="1" spans="1:32" s="188" customFormat="1" ht="75" customHeight="1">
      <c r="A1" s="222" t="s">
        <v>327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</row>
    <row r="2" spans="1:32" s="188" customFormat="1" ht="29.25" customHeight="1">
      <c r="A2" s="189" t="s">
        <v>206</v>
      </c>
      <c r="B2" s="190"/>
      <c r="C2" s="191"/>
      <c r="D2" s="190"/>
      <c r="E2" s="190"/>
      <c r="F2" s="192"/>
      <c r="G2" s="190"/>
      <c r="H2" s="190"/>
      <c r="I2" s="190"/>
      <c r="J2" s="190"/>
      <c r="K2" s="192"/>
      <c r="L2" s="190"/>
      <c r="M2" s="193"/>
      <c r="N2" s="194"/>
      <c r="O2" s="190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</row>
    <row r="3" spans="1:32" s="188" customFormat="1" ht="29.25" customHeight="1" thickBot="1">
      <c r="A3" s="189" t="s">
        <v>331</v>
      </c>
      <c r="B3" s="190"/>
      <c r="C3" s="191"/>
      <c r="D3" s="190"/>
      <c r="E3" s="190"/>
      <c r="F3" s="192"/>
      <c r="G3" s="195"/>
      <c r="H3" s="195"/>
      <c r="I3" s="195"/>
      <c r="J3" s="195"/>
      <c r="K3" s="196"/>
      <c r="L3" s="195"/>
      <c r="M3" s="197"/>
      <c r="N3" s="198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D3" s="199" t="s">
        <v>302</v>
      </c>
      <c r="AE3" s="200" t="s">
        <v>293</v>
      </c>
      <c r="AF3" s="200" t="s">
        <v>294</v>
      </c>
    </row>
    <row r="4" spans="1:32" s="216" customFormat="1" ht="56.25" customHeight="1">
      <c r="A4" s="201" t="s">
        <v>86</v>
      </c>
      <c r="B4" s="202" t="s">
        <v>87</v>
      </c>
      <c r="C4" s="203" t="s">
        <v>88</v>
      </c>
      <c r="D4" s="204" t="s">
        <v>89</v>
      </c>
      <c r="E4" s="205" t="s">
        <v>90</v>
      </c>
      <c r="F4" s="206" t="s">
        <v>91</v>
      </c>
      <c r="G4" s="207" t="s">
        <v>92</v>
      </c>
      <c r="H4" s="203" t="s">
        <v>93</v>
      </c>
      <c r="I4" s="208" t="s">
        <v>8</v>
      </c>
      <c r="J4" s="209" t="s">
        <v>12</v>
      </c>
      <c r="K4" s="203" t="s">
        <v>28</v>
      </c>
      <c r="L4" s="204" t="s">
        <v>94</v>
      </c>
      <c r="M4" s="210" t="s">
        <v>95</v>
      </c>
      <c r="N4" s="211" t="s">
        <v>96</v>
      </c>
      <c r="O4" s="212" t="s">
        <v>97</v>
      </c>
      <c r="P4" s="207" t="s">
        <v>98</v>
      </c>
      <c r="Q4" s="212" t="s">
        <v>99</v>
      </c>
      <c r="R4" s="212" t="s">
        <v>100</v>
      </c>
      <c r="S4" s="212" t="s">
        <v>101</v>
      </c>
      <c r="T4" s="212" t="s">
        <v>102</v>
      </c>
      <c r="U4" s="212" t="s">
        <v>103</v>
      </c>
      <c r="V4" s="213" t="s">
        <v>104</v>
      </c>
      <c r="W4" s="214" t="s">
        <v>105</v>
      </c>
      <c r="X4" s="213" t="s">
        <v>106</v>
      </c>
      <c r="Y4" s="212" t="s">
        <v>107</v>
      </c>
      <c r="Z4" s="213" t="s">
        <v>108</v>
      </c>
      <c r="AA4" s="212" t="s">
        <v>109</v>
      </c>
      <c r="AB4" s="213" t="s">
        <v>110</v>
      </c>
      <c r="AC4" s="202" t="s">
        <v>307</v>
      </c>
      <c r="AD4" s="202" t="s">
        <v>111</v>
      </c>
      <c r="AE4" s="213" t="s">
        <v>112</v>
      </c>
      <c r="AF4" s="215" t="s">
        <v>113</v>
      </c>
    </row>
    <row r="5" spans="1:32" s="143" customFormat="1" ht="45" customHeight="1">
      <c r="A5" s="135">
        <v>1</v>
      </c>
      <c r="B5" s="136" t="s">
        <v>205</v>
      </c>
      <c r="C5" s="221" t="s">
        <v>330</v>
      </c>
      <c r="D5" s="137"/>
      <c r="E5" s="137"/>
      <c r="F5" s="179"/>
      <c r="G5" s="138"/>
      <c r="H5" s="137"/>
      <c r="I5" s="180"/>
      <c r="J5" s="137"/>
      <c r="K5" s="181"/>
      <c r="L5" s="182"/>
      <c r="M5" s="217"/>
      <c r="N5" s="183"/>
      <c r="O5" s="140"/>
      <c r="P5" s="220"/>
      <c r="Q5" s="140"/>
      <c r="R5" s="140"/>
      <c r="S5" s="140"/>
      <c r="T5" s="218"/>
      <c r="U5" s="218"/>
      <c r="V5" s="218"/>
      <c r="W5" s="218"/>
      <c r="X5" s="219"/>
      <c r="Y5" s="139" t="s">
        <v>297</v>
      </c>
      <c r="Z5" s="218"/>
      <c r="AA5" s="138"/>
      <c r="AB5" s="218"/>
      <c r="AC5" s="218"/>
      <c r="AD5" s="141"/>
      <c r="AE5" s="141" t="s">
        <v>202</v>
      </c>
      <c r="AF5" s="142" t="s">
        <v>202</v>
      </c>
    </row>
    <row r="6" spans="1:32" s="143" customFormat="1" ht="45" customHeight="1">
      <c r="A6" s="135">
        <v>2</v>
      </c>
      <c r="B6" s="136" t="s">
        <v>135</v>
      </c>
      <c r="C6" s="181"/>
      <c r="D6" s="144"/>
      <c r="E6" s="144"/>
      <c r="F6" s="179"/>
      <c r="G6" s="138"/>
      <c r="H6" s="137"/>
      <c r="I6" s="180"/>
      <c r="J6" s="137"/>
      <c r="K6" s="181"/>
      <c r="L6" s="182"/>
      <c r="M6" s="217"/>
      <c r="N6" s="183"/>
      <c r="O6" s="140"/>
      <c r="P6" s="220"/>
      <c r="Q6" s="140"/>
      <c r="R6" s="140"/>
      <c r="S6" s="140"/>
      <c r="T6" s="218"/>
      <c r="U6" s="218"/>
      <c r="V6" s="218"/>
      <c r="W6" s="218"/>
      <c r="X6" s="219"/>
      <c r="Y6" s="139" t="s">
        <v>328</v>
      </c>
      <c r="Z6" s="218"/>
      <c r="AA6" s="138"/>
      <c r="AB6" s="218"/>
      <c r="AC6" s="218"/>
      <c r="AD6" s="141"/>
      <c r="AE6" s="141" t="s">
        <v>329</v>
      </c>
      <c r="AF6" s="142" t="s">
        <v>329</v>
      </c>
    </row>
    <row r="7" spans="1:32" s="143" customFormat="1" ht="45" customHeight="1">
      <c r="A7" s="135">
        <v>3</v>
      </c>
      <c r="B7" s="136" t="s">
        <v>135</v>
      </c>
      <c r="C7" s="181"/>
      <c r="D7" s="144"/>
      <c r="E7" s="144"/>
      <c r="F7" s="179"/>
      <c r="G7" s="138"/>
      <c r="H7" s="137"/>
      <c r="I7" s="180"/>
      <c r="J7" s="137"/>
      <c r="K7" s="181"/>
      <c r="L7" s="182"/>
      <c r="M7" s="217"/>
      <c r="N7" s="183"/>
      <c r="O7" s="140"/>
      <c r="P7" s="220"/>
      <c r="Q7" s="140"/>
      <c r="R7" s="140"/>
      <c r="S7" s="140"/>
      <c r="T7" s="218"/>
      <c r="U7" s="218"/>
      <c r="V7" s="218"/>
      <c r="W7" s="218"/>
      <c r="X7" s="219"/>
      <c r="Y7" s="139" t="s">
        <v>328</v>
      </c>
      <c r="Z7" s="218"/>
      <c r="AA7" s="138"/>
      <c r="AB7" s="218"/>
      <c r="AC7" s="218"/>
      <c r="AD7" s="141"/>
      <c r="AE7" s="141" t="s">
        <v>329</v>
      </c>
      <c r="AF7" s="142" t="s">
        <v>329</v>
      </c>
    </row>
    <row r="8" spans="1:32" s="143" customFormat="1" ht="45" customHeight="1">
      <c r="A8" s="135">
        <v>4</v>
      </c>
      <c r="B8" s="136" t="s">
        <v>135</v>
      </c>
      <c r="C8" s="181"/>
      <c r="D8" s="144"/>
      <c r="E8" s="144"/>
      <c r="F8" s="179"/>
      <c r="G8" s="138"/>
      <c r="H8" s="137"/>
      <c r="I8" s="180"/>
      <c r="J8" s="137"/>
      <c r="K8" s="181"/>
      <c r="L8" s="182"/>
      <c r="M8" s="217"/>
      <c r="N8" s="183"/>
      <c r="O8" s="140"/>
      <c r="P8" s="220"/>
      <c r="Q8" s="140"/>
      <c r="R8" s="140"/>
      <c r="S8" s="140"/>
      <c r="T8" s="218"/>
      <c r="U8" s="218"/>
      <c r="V8" s="218"/>
      <c r="W8" s="218"/>
      <c r="X8" s="219"/>
      <c r="Y8" s="139" t="s">
        <v>328</v>
      </c>
      <c r="Z8" s="218"/>
      <c r="AA8" s="138"/>
      <c r="AB8" s="218"/>
      <c r="AC8" s="218"/>
      <c r="AD8" s="141"/>
      <c r="AE8" s="141" t="s">
        <v>329</v>
      </c>
      <c r="AF8" s="142" t="s">
        <v>329</v>
      </c>
    </row>
    <row r="9" spans="1:32" s="143" customFormat="1" ht="45" customHeight="1">
      <c r="A9" s="135">
        <v>5</v>
      </c>
      <c r="B9" s="136" t="s">
        <v>135</v>
      </c>
      <c r="C9" s="181"/>
      <c r="D9" s="144"/>
      <c r="E9" s="144"/>
      <c r="F9" s="179"/>
      <c r="G9" s="138"/>
      <c r="H9" s="137"/>
      <c r="I9" s="180"/>
      <c r="J9" s="137"/>
      <c r="K9" s="181"/>
      <c r="L9" s="182"/>
      <c r="M9" s="217"/>
      <c r="N9" s="183"/>
      <c r="O9" s="140"/>
      <c r="P9" s="220"/>
      <c r="Q9" s="140"/>
      <c r="R9" s="140"/>
      <c r="S9" s="140"/>
      <c r="T9" s="218"/>
      <c r="U9" s="218"/>
      <c r="V9" s="218"/>
      <c r="W9" s="218"/>
      <c r="X9" s="219"/>
      <c r="Y9" s="139" t="s">
        <v>328</v>
      </c>
      <c r="Z9" s="218"/>
      <c r="AA9" s="138"/>
      <c r="AB9" s="218"/>
      <c r="AC9" s="218"/>
      <c r="AD9" s="141"/>
      <c r="AE9" s="141" t="s">
        <v>329</v>
      </c>
      <c r="AF9" s="142" t="s">
        <v>329</v>
      </c>
    </row>
    <row r="10" spans="1:32" s="157" customFormat="1" ht="65.25" customHeight="1">
      <c r="A10" s="178" t="s">
        <v>306</v>
      </c>
      <c r="B10" s="145"/>
      <c r="C10" s="146" t="s">
        <v>187</v>
      </c>
      <c r="D10" s="145"/>
      <c r="E10" s="145"/>
      <c r="F10" s="147"/>
      <c r="G10" s="145"/>
      <c r="H10" s="145"/>
      <c r="I10" s="148" t="s">
        <v>326</v>
      </c>
      <c r="J10" s="145"/>
      <c r="K10" s="149" t="s">
        <v>189</v>
      </c>
      <c r="L10" s="145"/>
      <c r="M10" s="150" t="s">
        <v>188</v>
      </c>
      <c r="N10" s="187" t="s">
        <v>295</v>
      </c>
      <c r="O10" s="151"/>
      <c r="P10" s="152"/>
      <c r="Q10" s="153" t="s">
        <v>190</v>
      </c>
      <c r="R10" s="153" t="s">
        <v>308</v>
      </c>
      <c r="S10" s="153" t="s">
        <v>309</v>
      </c>
      <c r="T10" s="153" t="s">
        <v>296</v>
      </c>
      <c r="U10" s="145"/>
      <c r="V10" s="145"/>
      <c r="W10" s="145"/>
      <c r="X10" s="147"/>
      <c r="Y10" s="145"/>
      <c r="Z10" s="145"/>
      <c r="AA10" s="145"/>
      <c r="AB10" s="145"/>
      <c r="AC10" s="154"/>
      <c r="AD10" s="155"/>
      <c r="AE10" s="155"/>
      <c r="AF10" s="156"/>
    </row>
    <row r="11" spans="1:32" s="157" customFormat="1" ht="114" customHeight="1">
      <c r="A11" s="158" t="s">
        <v>80</v>
      </c>
      <c r="B11" s="159" t="s">
        <v>135</v>
      </c>
      <c r="C11" s="147" t="s">
        <v>136</v>
      </c>
      <c r="D11" s="159" t="s">
        <v>134</v>
      </c>
      <c r="E11" s="159" t="s">
        <v>115</v>
      </c>
      <c r="F11" s="160" t="s">
        <v>146</v>
      </c>
      <c r="G11" s="159"/>
      <c r="H11" s="159" t="s">
        <v>151</v>
      </c>
      <c r="I11" s="161" t="s">
        <v>172</v>
      </c>
      <c r="J11" s="159" t="s">
        <v>119</v>
      </c>
      <c r="K11" s="160" t="s">
        <v>120</v>
      </c>
      <c r="L11" s="159" t="s">
        <v>124</v>
      </c>
      <c r="M11" s="162" t="s">
        <v>217</v>
      </c>
      <c r="N11" s="163">
        <v>20260831</v>
      </c>
      <c r="O11" s="164" t="s">
        <v>168</v>
      </c>
      <c r="P11" s="164">
        <v>83156267</v>
      </c>
      <c r="Q11" s="164" t="s">
        <v>171</v>
      </c>
      <c r="R11" s="159" t="s">
        <v>117</v>
      </c>
      <c r="S11" s="164" t="s">
        <v>117</v>
      </c>
      <c r="T11" s="164" t="s">
        <v>182</v>
      </c>
      <c r="U11" s="164" t="s">
        <v>184</v>
      </c>
      <c r="V11" s="164"/>
      <c r="W11" s="164"/>
      <c r="X11" s="160"/>
      <c r="Y11" s="159" t="s">
        <v>117</v>
      </c>
      <c r="Z11" s="164" t="s">
        <v>196</v>
      </c>
      <c r="AA11" s="164" t="s">
        <v>117</v>
      </c>
      <c r="AB11" s="164" t="s">
        <v>197</v>
      </c>
      <c r="AC11" s="155" t="s">
        <v>198</v>
      </c>
      <c r="AD11" s="155" t="s">
        <v>199</v>
      </c>
      <c r="AE11" s="155" t="s">
        <v>203</v>
      </c>
      <c r="AF11" s="156" t="s">
        <v>202</v>
      </c>
    </row>
    <row r="12" spans="1:32" s="157" customFormat="1" ht="36">
      <c r="A12" s="158" t="s">
        <v>80</v>
      </c>
      <c r="B12" s="159" t="s">
        <v>135</v>
      </c>
      <c r="C12" s="147" t="s">
        <v>137</v>
      </c>
      <c r="D12" s="159" t="s">
        <v>85</v>
      </c>
      <c r="E12" s="159" t="s">
        <v>115</v>
      </c>
      <c r="F12" s="160" t="s">
        <v>23</v>
      </c>
      <c r="G12" s="159" t="s">
        <v>150</v>
      </c>
      <c r="H12" s="159" t="s">
        <v>152</v>
      </c>
      <c r="I12" s="161" t="s">
        <v>173</v>
      </c>
      <c r="J12" s="159" t="s">
        <v>116</v>
      </c>
      <c r="K12" s="160" t="s">
        <v>123</v>
      </c>
      <c r="L12" s="159" t="s">
        <v>160</v>
      </c>
      <c r="M12" s="165" t="s">
        <v>162</v>
      </c>
      <c r="N12" s="163">
        <v>20260112</v>
      </c>
      <c r="O12" s="164" t="s">
        <v>169</v>
      </c>
      <c r="P12" s="166">
        <v>80114615</v>
      </c>
      <c r="Q12" s="159" t="s">
        <v>117</v>
      </c>
      <c r="R12" s="159" t="s">
        <v>117</v>
      </c>
      <c r="S12" s="159" t="s">
        <v>117</v>
      </c>
      <c r="T12" s="164" t="s">
        <v>193</v>
      </c>
      <c r="U12" s="159" t="s">
        <v>117</v>
      </c>
      <c r="V12" s="159"/>
      <c r="W12" s="159"/>
      <c r="X12" s="160"/>
      <c r="Y12" s="159" t="s">
        <v>117</v>
      </c>
      <c r="Z12" s="164" t="s">
        <v>195</v>
      </c>
      <c r="AA12" s="164" t="s">
        <v>117</v>
      </c>
      <c r="AB12" s="159" t="s">
        <v>121</v>
      </c>
      <c r="AC12" s="155" t="s">
        <v>198</v>
      </c>
      <c r="AD12" s="155" t="s">
        <v>200</v>
      </c>
      <c r="AE12" s="155" t="s">
        <v>203</v>
      </c>
      <c r="AF12" s="156" t="s">
        <v>202</v>
      </c>
    </row>
    <row r="13" spans="1:32" s="157" customFormat="1" ht="48">
      <c r="A13" s="158" t="s">
        <v>80</v>
      </c>
      <c r="B13" s="159" t="s">
        <v>135</v>
      </c>
      <c r="C13" s="147" t="s">
        <v>138</v>
      </c>
      <c r="D13" s="159" t="s">
        <v>128</v>
      </c>
      <c r="E13" s="159" t="s">
        <v>145</v>
      </c>
      <c r="F13" s="160" t="s">
        <v>148</v>
      </c>
      <c r="G13" s="159"/>
      <c r="H13" s="159" t="s">
        <v>153</v>
      </c>
      <c r="I13" s="161" t="s">
        <v>172</v>
      </c>
      <c r="J13" s="159" t="s">
        <v>119</v>
      </c>
      <c r="K13" s="160" t="s">
        <v>131</v>
      </c>
      <c r="L13" s="159" t="s">
        <v>161</v>
      </c>
      <c r="M13" s="162" t="s">
        <v>163</v>
      </c>
      <c r="N13" s="163">
        <v>20260228</v>
      </c>
      <c r="O13" s="164" t="s">
        <v>170</v>
      </c>
      <c r="P13" s="166">
        <v>92233674</v>
      </c>
      <c r="Q13" s="164" t="s">
        <v>177</v>
      </c>
      <c r="R13" s="164" t="s">
        <v>180</v>
      </c>
      <c r="S13" s="164" t="s">
        <v>167</v>
      </c>
      <c r="T13" s="164" t="s">
        <v>126</v>
      </c>
      <c r="U13" s="159" t="s">
        <v>117</v>
      </c>
      <c r="V13" s="159"/>
      <c r="W13" s="159"/>
      <c r="X13" s="160"/>
      <c r="Y13" s="164" t="s">
        <v>167</v>
      </c>
      <c r="Z13" s="164" t="s">
        <v>126</v>
      </c>
      <c r="AA13" s="164" t="s">
        <v>117</v>
      </c>
      <c r="AB13" s="164" t="s">
        <v>127</v>
      </c>
      <c r="AC13" s="155" t="s">
        <v>198</v>
      </c>
      <c r="AD13" s="155" t="s">
        <v>303</v>
      </c>
      <c r="AE13" s="155" t="s">
        <v>203</v>
      </c>
      <c r="AF13" s="156" t="s">
        <v>202</v>
      </c>
    </row>
    <row r="14" spans="1:32" s="157" customFormat="1" ht="36">
      <c r="A14" s="158" t="s">
        <v>80</v>
      </c>
      <c r="B14" s="159" t="s">
        <v>135</v>
      </c>
      <c r="C14" s="147" t="s">
        <v>139</v>
      </c>
      <c r="D14" s="159" t="s">
        <v>114</v>
      </c>
      <c r="E14" s="159" t="s">
        <v>144</v>
      </c>
      <c r="F14" s="160" t="s">
        <v>147</v>
      </c>
      <c r="G14" s="159"/>
      <c r="H14" s="159" t="s">
        <v>154</v>
      </c>
      <c r="I14" s="161" t="s">
        <v>173</v>
      </c>
      <c r="J14" s="159" t="s">
        <v>116</v>
      </c>
      <c r="K14" s="160" t="s">
        <v>157</v>
      </c>
      <c r="L14" s="159" t="s">
        <v>124</v>
      </c>
      <c r="M14" s="165" t="s">
        <v>164</v>
      </c>
      <c r="N14" s="163">
        <v>20260831</v>
      </c>
      <c r="O14" s="164" t="s">
        <v>167</v>
      </c>
      <c r="P14" s="166" t="s">
        <v>167</v>
      </c>
      <c r="Q14" s="159" t="s">
        <v>117</v>
      </c>
      <c r="R14" s="159" t="s">
        <v>117</v>
      </c>
      <c r="S14" s="164" t="s">
        <v>174</v>
      </c>
      <c r="T14" s="164" t="s">
        <v>167</v>
      </c>
      <c r="U14" s="164" t="s">
        <v>183</v>
      </c>
      <c r="V14" s="159">
        <v>1</v>
      </c>
      <c r="W14" s="159" t="s">
        <v>191</v>
      </c>
      <c r="X14" s="160" t="s">
        <v>192</v>
      </c>
      <c r="Y14" s="159" t="s">
        <v>117</v>
      </c>
      <c r="Z14" s="164" t="s">
        <v>194</v>
      </c>
      <c r="AA14" s="164" t="s">
        <v>117</v>
      </c>
      <c r="AB14" s="159" t="s">
        <v>129</v>
      </c>
      <c r="AC14" s="155" t="s">
        <v>198</v>
      </c>
      <c r="AD14" s="155" t="s">
        <v>304</v>
      </c>
      <c r="AE14" s="155" t="s">
        <v>204</v>
      </c>
      <c r="AF14" s="156" t="s">
        <v>202</v>
      </c>
    </row>
    <row r="15" spans="1:32" s="157" customFormat="1" ht="72">
      <c r="A15" s="158" t="s">
        <v>80</v>
      </c>
      <c r="B15" s="159" t="s">
        <v>135</v>
      </c>
      <c r="C15" s="147" t="s">
        <v>141</v>
      </c>
      <c r="D15" s="159" t="s">
        <v>142</v>
      </c>
      <c r="E15" s="159" t="s">
        <v>122</v>
      </c>
      <c r="F15" s="160" t="s">
        <v>118</v>
      </c>
      <c r="G15" s="159"/>
      <c r="H15" s="159" t="s">
        <v>155</v>
      </c>
      <c r="I15" s="161" t="s">
        <v>172</v>
      </c>
      <c r="J15" s="159" t="s">
        <v>119</v>
      </c>
      <c r="K15" s="160" t="s">
        <v>158</v>
      </c>
      <c r="L15" s="159" t="s">
        <v>161</v>
      </c>
      <c r="M15" s="165" t="s">
        <v>165</v>
      </c>
      <c r="N15" s="163">
        <v>20260228</v>
      </c>
      <c r="O15" s="164" t="s">
        <v>126</v>
      </c>
      <c r="P15" s="166" t="s">
        <v>167</v>
      </c>
      <c r="Q15" s="164" t="s">
        <v>178</v>
      </c>
      <c r="R15" s="164"/>
      <c r="S15" s="164" t="s">
        <v>176</v>
      </c>
      <c r="T15" s="164" t="s">
        <v>186</v>
      </c>
      <c r="U15" s="159" t="s">
        <v>117</v>
      </c>
      <c r="V15" s="159"/>
      <c r="W15" s="159"/>
      <c r="X15" s="160"/>
      <c r="Y15" s="164" t="s">
        <v>125</v>
      </c>
      <c r="Z15" s="164" t="s">
        <v>126</v>
      </c>
      <c r="AA15" s="164" t="s">
        <v>117</v>
      </c>
      <c r="AB15" s="164" t="s">
        <v>130</v>
      </c>
      <c r="AC15" s="155" t="s">
        <v>198</v>
      </c>
      <c r="AD15" s="155" t="s">
        <v>305</v>
      </c>
      <c r="AE15" s="155" t="s">
        <v>203</v>
      </c>
      <c r="AF15" s="156" t="s">
        <v>202</v>
      </c>
    </row>
    <row r="16" spans="1:32" s="157" customFormat="1" ht="48.75" thickBot="1">
      <c r="A16" s="167" t="s">
        <v>80</v>
      </c>
      <c r="B16" s="168" t="s">
        <v>135</v>
      </c>
      <c r="C16" s="169" t="s">
        <v>140</v>
      </c>
      <c r="D16" s="168" t="s">
        <v>143</v>
      </c>
      <c r="E16" s="168" t="s">
        <v>145</v>
      </c>
      <c r="F16" s="170" t="s">
        <v>149</v>
      </c>
      <c r="G16" s="168"/>
      <c r="H16" s="168" t="s">
        <v>156</v>
      </c>
      <c r="I16" s="171" t="s">
        <v>173</v>
      </c>
      <c r="J16" s="168" t="s">
        <v>116</v>
      </c>
      <c r="K16" s="170" t="s">
        <v>159</v>
      </c>
      <c r="L16" s="168" t="s">
        <v>124</v>
      </c>
      <c r="M16" s="172" t="s">
        <v>166</v>
      </c>
      <c r="N16" s="173">
        <v>20260831</v>
      </c>
      <c r="O16" s="174" t="s">
        <v>167</v>
      </c>
      <c r="P16" s="174" t="s">
        <v>167</v>
      </c>
      <c r="Q16" s="174" t="s">
        <v>179</v>
      </c>
      <c r="R16" s="174" t="s">
        <v>181</v>
      </c>
      <c r="S16" s="174" t="s">
        <v>185</v>
      </c>
      <c r="T16" s="174" t="s">
        <v>175</v>
      </c>
      <c r="U16" s="168" t="s">
        <v>117</v>
      </c>
      <c r="V16" s="168"/>
      <c r="W16" s="168"/>
      <c r="X16" s="170"/>
      <c r="Y16" s="168" t="s">
        <v>117</v>
      </c>
      <c r="Z16" s="168" t="s">
        <v>126</v>
      </c>
      <c r="AA16" s="174" t="s">
        <v>117</v>
      </c>
      <c r="AB16" s="174" t="s">
        <v>132</v>
      </c>
      <c r="AC16" s="175" t="s">
        <v>198</v>
      </c>
      <c r="AD16" s="175" t="s">
        <v>201</v>
      </c>
      <c r="AE16" s="175" t="s">
        <v>204</v>
      </c>
      <c r="AF16" s="176" t="s">
        <v>202</v>
      </c>
    </row>
  </sheetData>
  <mergeCells count="1">
    <mergeCell ref="A1:AF1"/>
  </mergeCells>
  <phoneticPr fontId="1" type="noConversion"/>
  <dataValidations count="11">
    <dataValidation type="list" allowBlank="1" showInputMessage="1" showErrorMessage="1" sqref="L11:L16" xr:uid="{C047E757-0D8F-4DD8-A5D6-191A0342E906}">
      <formula1>"정년퇴직, 명예퇴직, 의원면직, 사망퇴직, 기타퇴직"</formula1>
    </dataValidation>
    <dataValidation type="list" allowBlank="1" showInputMessage="1" showErrorMessage="1" sqref="K11:K16" xr:uid="{D1EB63F0-A8BA-4C5E-ACA7-2AAA9B67E761}">
      <formula1>"청조근정훈장, 황조근정훈장, 홍조근정훈장, 녹조근정훈장, 옥조근정훈장, 근정포장, 대통령표창, 국무총리표창, 장관표창"</formula1>
    </dataValidation>
    <dataValidation type="list" allowBlank="1" showInputMessage="1" showErrorMessage="1" sqref="J11:J16 J5:J9" xr:uid="{07913D29-CD37-40D2-BE10-97ECC664DFDE}">
      <formula1>"남, 여"</formula1>
    </dataValidation>
    <dataValidation type="list" allowBlank="1" showInputMessage="1" showErrorMessage="1" sqref="G11:G16" xr:uid="{40336B8A-EB76-47A5-9451-ED5A931F237C}">
      <formula1>"추서"</formula1>
    </dataValidation>
    <dataValidation type="list" allowBlank="1" showInputMessage="1" showErrorMessage="1" sqref="F11:F16" xr:uid="{38415BBC-363A-40F7-97AD-D8F7BFF92F72}">
      <formula1>"교사, 수석교사, 교감, 원감, 교장, 원장, 장학사, 교육연구사, 장학관, 교육연구관, 조교수, 부교수, 교수, 부총장, 총장"</formula1>
    </dataValidation>
    <dataValidation type="list" allowBlank="1" showInputMessage="1" showErrorMessage="1" sqref="E11:E16 E5:E9" xr:uid="{C71E99AB-F7D9-4CD4-B062-DF78E2EC044D}">
      <formula1>"국립, 공립, 사립"</formula1>
    </dataValidation>
    <dataValidation type="list" allowBlank="1" showInputMessage="1" showErrorMessage="1" sqref="D11:D16 D5:D9" xr:uid="{45683188-1C6B-42F5-8C12-B78BDBCD794A}">
      <formula1>"유치원, 초등학교, 중학교, 고등학교, 특수학교, 교육청등, 학력인정, 대학, 전문대학, 사이버대학, 교육부등, 재외학교"</formula1>
    </dataValidation>
    <dataValidation type="list" allowBlank="1" showInputMessage="1" showErrorMessage="1" sqref="B11:B16" xr:uid="{99776789-D68B-4CFB-9835-5D37EF40AADA}">
      <formula1>"서울,부산, 대구, 인천, 광주, 대전, 울산, 세종, 경기, 강원, 충북, 충남, 전북, 전남, 경북, 경남, 제주, 대학, 전문재, 사이버대, 학술, 교육부, 재외학교"</formula1>
    </dataValidation>
    <dataValidation type="list" allowBlank="1" showInputMessage="1" showErrorMessage="1" sqref="F5:F9" xr:uid="{35655818-E24A-436A-93AA-F23714FC6489}">
      <formula1>"교사, 수석교사, 교감, 원감, 교장, 원장, 장학사, 교육연구사, 장학관, 교육연구관, 원로교사"</formula1>
    </dataValidation>
    <dataValidation type="list" allowBlank="1" showInputMessage="1" showErrorMessage="1" sqref="K5:K9" xr:uid="{FF3FDC01-B867-478E-AA40-02D9F29D5C27}">
      <formula1>"황조근정훈장, 홍조근정훈장, 녹조근정훈장, 옥조근정훈장, 근정포장, 대통령표창, 국무총리표창, 장관표창"</formula1>
    </dataValidation>
    <dataValidation type="list" allowBlank="1" showInputMessage="1" showErrorMessage="1" sqref="L5:L9" xr:uid="{812BCCDB-059C-4ED2-84AB-CDC5446AA7A4}">
      <formula1>"정년퇴직, 명예퇴직, 의원면직, 사망퇴직, 직권면직"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C30B-A823-42DF-8896-744473F52E7E}">
  <sheetPr>
    <tabColor rgb="FFFFFF00"/>
  </sheetPr>
  <dimension ref="A1:G95"/>
  <sheetViews>
    <sheetView workbookViewId="0">
      <pane ySplit="1" topLeftCell="A2" activePane="bottomLeft" state="frozen"/>
      <selection pane="bottomLeft" activeCell="C16" sqref="C16"/>
    </sheetView>
  </sheetViews>
  <sheetFormatPr defaultRowHeight="16.5"/>
  <cols>
    <col min="1" max="1" width="2" style="3" customWidth="1"/>
    <col min="2" max="2" width="25.625" style="3" customWidth="1"/>
    <col min="3" max="3" width="40.625" style="3" customWidth="1"/>
    <col min="4" max="4" width="25.625" style="3" customWidth="1"/>
    <col min="5" max="5" width="40.625" style="3" customWidth="1"/>
    <col min="6" max="6" width="57.875" style="3" customWidth="1"/>
    <col min="7" max="16384" width="9" style="42"/>
  </cols>
  <sheetData>
    <row r="1" spans="1:6" s="3" customFormat="1" ht="56.25" customHeight="1">
      <c r="B1" s="225" t="s">
        <v>310</v>
      </c>
      <c r="C1" s="225"/>
      <c r="D1" s="225"/>
      <c r="E1" s="225"/>
      <c r="F1" s="7"/>
    </row>
    <row r="2" spans="1:6" s="3" customFormat="1" ht="9.9499999999999993" customHeight="1" thickBot="1">
      <c r="A2" s="4"/>
      <c r="B2" s="14"/>
      <c r="C2" s="14"/>
      <c r="D2" s="14"/>
      <c r="E2" s="14"/>
      <c r="F2" s="4"/>
    </row>
    <row r="3" spans="1:6" s="3" customFormat="1" ht="88.5" customHeight="1" thickBot="1">
      <c r="A3" s="1"/>
      <c r="B3" s="226" t="s">
        <v>311</v>
      </c>
      <c r="C3" s="227"/>
      <c r="D3" s="227"/>
      <c r="E3" s="228"/>
      <c r="F3" s="2"/>
    </row>
    <row r="4" spans="1:6" s="3" customFormat="1" ht="9.9499999999999993" customHeight="1">
      <c r="A4" s="4"/>
      <c r="B4" s="15"/>
      <c r="C4" s="15"/>
      <c r="D4" s="15"/>
      <c r="E4" s="15"/>
      <c r="F4" s="4"/>
    </row>
    <row r="5" spans="1:6" s="4" customFormat="1" ht="21.95" customHeight="1">
      <c r="A5" s="5"/>
      <c r="B5" s="78" t="s">
        <v>0</v>
      </c>
      <c r="C5" s="79" t="s">
        <v>324</v>
      </c>
      <c r="D5" s="80" t="s">
        <v>325</v>
      </c>
      <c r="E5" s="80"/>
      <c r="F5" s="6"/>
    </row>
    <row r="6" spans="1:6" s="4" customFormat="1" ht="21.95" customHeight="1">
      <c r="A6" s="5"/>
      <c r="B6" s="127" t="s">
        <v>290</v>
      </c>
      <c r="C6" s="81"/>
      <c r="D6" s="81" t="s">
        <v>291</v>
      </c>
      <c r="E6" s="80"/>
      <c r="F6" s="6"/>
    </row>
    <row r="7" spans="1:6" s="3" customFormat="1" ht="9.9499999999999993" customHeight="1">
      <c r="A7" s="4"/>
      <c r="B7" s="16"/>
      <c r="C7" s="16"/>
      <c r="D7" s="16"/>
      <c r="E7" s="16"/>
      <c r="F7" s="4"/>
    </row>
    <row r="8" spans="1:6" s="19" customFormat="1" ht="21.95" customHeight="1">
      <c r="A8" s="17"/>
      <c r="B8" s="82" t="s">
        <v>1</v>
      </c>
      <c r="C8" s="18"/>
      <c r="D8" s="18"/>
      <c r="E8" s="18"/>
      <c r="F8" s="17"/>
    </row>
    <row r="9" spans="1:6" s="19" customFormat="1" ht="21.95" customHeight="1">
      <c r="A9" s="20"/>
      <c r="B9" s="65" t="s">
        <v>2</v>
      </c>
      <c r="C9" s="66" t="s">
        <v>3</v>
      </c>
      <c r="D9" s="74" t="s">
        <v>4</v>
      </c>
      <c r="E9" s="75" t="s">
        <v>5</v>
      </c>
      <c r="F9" s="21"/>
    </row>
    <row r="10" spans="1:6" s="19" customFormat="1" ht="21.95" customHeight="1">
      <c r="A10" s="22"/>
      <c r="B10" s="67"/>
      <c r="C10" s="64"/>
      <c r="D10" s="72"/>
      <c r="E10" s="73"/>
      <c r="F10" s="23"/>
    </row>
    <row r="11" spans="1:6" s="19" customFormat="1" ht="21.95" customHeight="1">
      <c r="A11" s="22"/>
      <c r="B11" s="68" t="s">
        <v>6</v>
      </c>
      <c r="C11" s="106" t="s">
        <v>312</v>
      </c>
      <c r="D11" s="60" t="s">
        <v>7</v>
      </c>
      <c r="E11" s="107" t="s">
        <v>313</v>
      </c>
      <c r="F11" s="26"/>
    </row>
    <row r="12" spans="1:6" s="19" customFormat="1" ht="21.95" customHeight="1">
      <c r="A12" s="22"/>
      <c r="B12" s="65" t="s">
        <v>8</v>
      </c>
      <c r="C12" s="108" t="s">
        <v>218</v>
      </c>
      <c r="D12" s="126" t="s">
        <v>9</v>
      </c>
      <c r="E12" s="109" t="s">
        <v>10</v>
      </c>
      <c r="F12" s="23"/>
    </row>
    <row r="13" spans="1:6" s="19" customFormat="1" ht="21.95" customHeight="1">
      <c r="A13" s="22"/>
      <c r="B13" s="67"/>
      <c r="C13" s="33" t="str">
        <f>IF(MID(C12,7,1)="-","","주민번호 하이픈(-)을 작성해주세요")</f>
        <v/>
      </c>
      <c r="D13" s="125"/>
      <c r="E13" s="125"/>
      <c r="F13" s="23"/>
    </row>
    <row r="14" spans="1:6" s="19" customFormat="1" ht="21.95" customHeight="1">
      <c r="A14" s="22"/>
      <c r="B14" s="69" t="s">
        <v>11</v>
      </c>
      <c r="C14" s="10" t="s">
        <v>219</v>
      </c>
      <c r="D14" s="25" t="s">
        <v>12</v>
      </c>
      <c r="E14" s="8"/>
      <c r="F14" s="23"/>
    </row>
    <row r="15" spans="1:6" s="19" customFormat="1" ht="21.95" customHeight="1">
      <c r="A15" s="20"/>
      <c r="B15" s="24" t="s">
        <v>13</v>
      </c>
      <c r="C15" s="44"/>
      <c r="D15" s="62" t="s">
        <v>14</v>
      </c>
      <c r="E15" s="124" t="s">
        <v>15</v>
      </c>
      <c r="F15" s="21"/>
    </row>
    <row r="16" spans="1:6" s="19" customFormat="1" ht="21.95" customHeight="1">
      <c r="A16" s="20"/>
      <c r="B16" s="24" t="s">
        <v>16</v>
      </c>
      <c r="C16" s="43"/>
      <c r="D16" s="60" t="s">
        <v>17</v>
      </c>
      <c r="E16" s="43"/>
      <c r="F16" s="21"/>
    </row>
    <row r="17" spans="1:6" s="19" customFormat="1" ht="21.95" customHeight="1">
      <c r="A17" s="22"/>
      <c r="B17" s="61" t="s">
        <v>18</v>
      </c>
      <c r="C17" s="46" t="s">
        <v>19</v>
      </c>
      <c r="D17" s="49"/>
      <c r="E17" s="50"/>
      <c r="F17" s="23"/>
    </row>
    <row r="18" spans="1:6" s="19" customFormat="1" ht="21.95" customHeight="1">
      <c r="A18" s="22"/>
      <c r="B18" s="61" t="s">
        <v>20</v>
      </c>
      <c r="C18" s="47" t="s">
        <v>292</v>
      </c>
      <c r="D18" s="51"/>
      <c r="E18" s="45"/>
      <c r="F18" s="26"/>
    </row>
    <row r="19" spans="1:6" s="19" customFormat="1" ht="21.95" customHeight="1">
      <c r="A19" s="22"/>
      <c r="B19" s="24" t="s">
        <v>21</v>
      </c>
      <c r="C19" s="44"/>
      <c r="D19" s="62" t="s">
        <v>22</v>
      </c>
      <c r="E19" s="48"/>
      <c r="F19" s="26"/>
    </row>
    <row r="20" spans="1:6" s="19" customFormat="1" ht="9.9499999999999993" customHeight="1">
      <c r="B20" s="28"/>
      <c r="C20" s="34"/>
      <c r="D20" s="28"/>
      <c r="E20" s="28"/>
      <c r="F20" s="29"/>
    </row>
    <row r="21" spans="1:6" s="19" customFormat="1" ht="21.95" customHeight="1">
      <c r="A21" s="17"/>
      <c r="B21" s="82" t="s">
        <v>24</v>
      </c>
      <c r="C21" s="105"/>
      <c r="D21" s="18"/>
      <c r="E21" s="18"/>
      <c r="F21" s="27"/>
    </row>
    <row r="22" spans="1:6" s="19" customFormat="1" ht="21.95" customHeight="1">
      <c r="A22" s="20"/>
      <c r="B22" s="24" t="s">
        <v>25</v>
      </c>
      <c r="C22" s="30" t="s">
        <v>314</v>
      </c>
      <c r="D22" s="24" t="s">
        <v>26</v>
      </c>
      <c r="E22" s="30" t="s">
        <v>27</v>
      </c>
      <c r="F22" s="31"/>
    </row>
    <row r="23" spans="1:6" s="19" customFormat="1" ht="21.95" customHeight="1">
      <c r="A23" s="20"/>
      <c r="B23" s="24" t="s">
        <v>28</v>
      </c>
      <c r="C23" s="9"/>
      <c r="D23" s="24" t="s">
        <v>29</v>
      </c>
      <c r="E23" s="30" t="s">
        <v>30</v>
      </c>
      <c r="F23" s="31"/>
    </row>
    <row r="24" spans="1:6" s="19" customFormat="1" ht="39.950000000000003" customHeight="1">
      <c r="A24" s="20"/>
      <c r="B24" s="24" t="s">
        <v>31</v>
      </c>
      <c r="C24" s="11" t="s">
        <v>32</v>
      </c>
      <c r="D24" s="24" t="s">
        <v>33</v>
      </c>
      <c r="E24" s="32" t="s">
        <v>315</v>
      </c>
      <c r="F24" s="31"/>
    </row>
    <row r="25" spans="1:6" s="19" customFormat="1" ht="75" customHeight="1">
      <c r="A25" s="20"/>
      <c r="B25" s="63" t="s">
        <v>34</v>
      </c>
      <c r="C25" s="184" t="s">
        <v>316</v>
      </c>
      <c r="D25" s="33"/>
      <c r="E25" s="34"/>
    </row>
    <row r="26" spans="1:6" s="19" customFormat="1" ht="21.95" customHeight="1">
      <c r="A26" s="20"/>
      <c r="B26" s="24" t="s">
        <v>35</v>
      </c>
      <c r="C26" s="11" t="s">
        <v>36</v>
      </c>
      <c r="D26" s="24" t="s">
        <v>37</v>
      </c>
      <c r="E26" s="11" t="s">
        <v>36</v>
      </c>
      <c r="F26" s="31"/>
    </row>
    <row r="27" spans="1:6" s="19" customFormat="1" ht="21.95" customHeight="1">
      <c r="A27" s="20"/>
      <c r="B27" s="24" t="s">
        <v>38</v>
      </c>
      <c r="C27" s="11" t="s">
        <v>39</v>
      </c>
      <c r="D27" s="24" t="s">
        <v>40</v>
      </c>
      <c r="E27" s="11" t="s">
        <v>36</v>
      </c>
      <c r="F27" s="31"/>
    </row>
    <row r="28" spans="1:6" s="19" customFormat="1" ht="9.9499999999999993" customHeight="1">
      <c r="B28" s="28"/>
      <c r="C28" s="28"/>
      <c r="D28" s="28"/>
      <c r="E28" s="28"/>
    </row>
    <row r="29" spans="1:6" s="19" customFormat="1" ht="21.95" customHeight="1">
      <c r="B29" s="82" t="s">
        <v>41</v>
      </c>
      <c r="C29" s="18"/>
      <c r="D29" s="18"/>
      <c r="E29" s="18"/>
    </row>
    <row r="30" spans="1:6" s="19" customFormat="1" ht="21.95" customHeight="1">
      <c r="A30" s="20"/>
      <c r="B30" s="24" t="s">
        <v>42</v>
      </c>
      <c r="C30" s="11" t="s">
        <v>36</v>
      </c>
      <c r="D30" s="24" t="s">
        <v>43</v>
      </c>
      <c r="E30" s="11" t="s">
        <v>44</v>
      </c>
      <c r="F30" s="31"/>
    </row>
    <row r="31" spans="1:6" s="19" customFormat="1" ht="21.95" customHeight="1">
      <c r="A31" s="20"/>
      <c r="B31" s="24" t="s">
        <v>45</v>
      </c>
      <c r="C31" s="11" t="s">
        <v>39</v>
      </c>
      <c r="D31" s="24" t="s">
        <v>46</v>
      </c>
      <c r="E31" s="11" t="s">
        <v>39</v>
      </c>
      <c r="F31" s="31"/>
    </row>
    <row r="32" spans="1:6" s="19" customFormat="1" ht="21.95" customHeight="1">
      <c r="A32" s="20"/>
      <c r="B32" s="24" t="s">
        <v>47</v>
      </c>
      <c r="C32" s="11" t="s">
        <v>36</v>
      </c>
      <c r="D32" s="24" t="s">
        <v>48</v>
      </c>
      <c r="E32" s="11" t="s">
        <v>44</v>
      </c>
      <c r="F32" s="31"/>
    </row>
    <row r="33" spans="1:6" s="19" customFormat="1" ht="9.9499999999999993" customHeight="1">
      <c r="B33" s="28"/>
      <c r="C33" s="28"/>
      <c r="D33" s="28"/>
      <c r="E33" s="28"/>
    </row>
    <row r="34" spans="1:6" s="19" customFormat="1" ht="21.95" customHeight="1">
      <c r="B34" s="82" t="s">
        <v>49</v>
      </c>
      <c r="C34" s="18"/>
      <c r="D34" s="18"/>
      <c r="E34" s="18"/>
    </row>
    <row r="35" spans="1:6" s="19" customFormat="1" ht="21.95" customHeight="1">
      <c r="A35" s="20"/>
      <c r="B35" s="24" t="s">
        <v>42</v>
      </c>
      <c r="C35" s="30" t="str">
        <f>C30</f>
        <v>학교-교감 / 기관-인사담당자</v>
      </c>
      <c r="D35" s="24" t="s">
        <v>43</v>
      </c>
      <c r="E35" s="30" t="str">
        <f>E30</f>
        <v>학교-교장 / 기관-총무·인사 팀장or과장</v>
      </c>
      <c r="F35" s="31"/>
    </row>
    <row r="36" spans="1:6" s="19" customFormat="1" ht="21.95" customHeight="1">
      <c r="A36" s="20"/>
      <c r="B36" s="24" t="s">
        <v>45</v>
      </c>
      <c r="C36" s="30" t="str">
        <f>C31</f>
        <v>입력</v>
      </c>
      <c r="D36" s="24" t="s">
        <v>46</v>
      </c>
      <c r="E36" s="30" t="str">
        <f>E31</f>
        <v>입력</v>
      </c>
      <c r="F36" s="31"/>
    </row>
    <row r="37" spans="1:6" s="19" customFormat="1" ht="21.95" customHeight="1">
      <c r="A37" s="20"/>
      <c r="B37" s="24" t="s">
        <v>47</v>
      </c>
      <c r="C37" s="30" t="str">
        <f>C32</f>
        <v>학교-교감 / 기관-인사담당자</v>
      </c>
      <c r="D37" s="24" t="s">
        <v>48</v>
      </c>
      <c r="E37" s="30" t="str">
        <f>E32</f>
        <v>학교-교장 / 기관-총무·인사 팀장or과장</v>
      </c>
      <c r="F37" s="31"/>
    </row>
    <row r="38" spans="1:6" s="19" customFormat="1" ht="9.9499999999999993" customHeight="1">
      <c r="B38" s="34"/>
      <c r="C38" s="34"/>
      <c r="D38" s="34"/>
      <c r="E38" s="34"/>
    </row>
    <row r="39" spans="1:6" s="4" customFormat="1" ht="21.95" customHeight="1">
      <c r="A39" s="5"/>
      <c r="B39" s="78"/>
      <c r="C39" s="78"/>
      <c r="D39" s="78"/>
      <c r="E39" s="84" t="s">
        <v>221</v>
      </c>
      <c r="F39" s="6"/>
    </row>
    <row r="40" spans="1:6" s="19" customFormat="1" ht="9.9499999999999993" customHeight="1">
      <c r="B40" s="28"/>
      <c r="C40" s="28"/>
      <c r="D40" s="28"/>
      <c r="E40" s="28"/>
    </row>
    <row r="41" spans="1:6" s="19" customFormat="1" ht="21.95" customHeight="1">
      <c r="B41" s="82" t="s">
        <v>50</v>
      </c>
      <c r="C41" s="18"/>
    </row>
    <row r="42" spans="1:6" s="19" customFormat="1" ht="21.95" customHeight="1">
      <c r="A42" s="20"/>
      <c r="B42" s="52" t="s">
        <v>51</v>
      </c>
      <c r="C42" s="52"/>
      <c r="D42" s="31"/>
    </row>
    <row r="43" spans="1:6" s="19" customFormat="1" ht="21.95" customHeight="1">
      <c r="A43" s="20"/>
      <c r="B43" s="24" t="s">
        <v>52</v>
      </c>
      <c r="C43" s="13" t="s">
        <v>220</v>
      </c>
      <c r="D43" s="31"/>
    </row>
    <row r="44" spans="1:6" s="19" customFormat="1" ht="21.95" customHeight="1">
      <c r="A44" s="20"/>
      <c r="B44" s="24" t="s">
        <v>53</v>
      </c>
      <c r="C44" s="13" t="s">
        <v>220</v>
      </c>
      <c r="D44" s="31"/>
    </row>
    <row r="45" spans="1:6" s="19" customFormat="1" ht="21.95" customHeight="1">
      <c r="A45" s="20"/>
      <c r="B45" s="24" t="s">
        <v>54</v>
      </c>
      <c r="C45" s="13" t="s">
        <v>220</v>
      </c>
      <c r="D45" s="31"/>
    </row>
    <row r="46" spans="1:6" s="19" customFormat="1" ht="21.95" customHeight="1">
      <c r="A46" s="20"/>
      <c r="B46" s="24" t="s">
        <v>55</v>
      </c>
      <c r="C46" s="13" t="s">
        <v>220</v>
      </c>
      <c r="D46" s="31"/>
    </row>
    <row r="47" spans="1:6" s="19" customFormat="1" ht="21.95" customHeight="1">
      <c r="A47" s="20"/>
      <c r="B47" s="24" t="s">
        <v>56</v>
      </c>
      <c r="C47" s="13" t="s">
        <v>220</v>
      </c>
      <c r="D47" s="31"/>
    </row>
    <row r="48" spans="1:6" s="19" customFormat="1" ht="21.95" customHeight="1">
      <c r="A48" s="20"/>
      <c r="B48" s="24" t="s">
        <v>57</v>
      </c>
      <c r="C48" s="13" t="s">
        <v>220</v>
      </c>
      <c r="D48" s="31"/>
    </row>
    <row r="49" spans="1:7" s="19" customFormat="1" ht="21.95" customHeight="1">
      <c r="A49" s="20"/>
      <c r="B49" s="24" t="s">
        <v>58</v>
      </c>
      <c r="C49" s="13" t="s">
        <v>220</v>
      </c>
      <c r="D49" s="31"/>
    </row>
    <row r="50" spans="1:7" s="19" customFormat="1" ht="9.9499999999999993" customHeight="1">
      <c r="B50" s="28"/>
      <c r="C50" s="28"/>
    </row>
    <row r="51" spans="1:7" s="19" customFormat="1" ht="21.95" customHeight="1">
      <c r="B51" s="82" t="s">
        <v>59</v>
      </c>
      <c r="C51" s="35"/>
    </row>
    <row r="52" spans="1:7" s="19" customFormat="1" ht="21.95" customHeight="1">
      <c r="A52" s="20"/>
      <c r="B52" s="24" t="s">
        <v>60</v>
      </c>
      <c r="C52" s="11" t="s">
        <v>317</v>
      </c>
      <c r="D52" s="31"/>
    </row>
    <row r="53" spans="1:7" s="19" customFormat="1" ht="21.95" customHeight="1">
      <c r="A53" s="20"/>
      <c r="B53" s="24" t="s">
        <v>61</v>
      </c>
      <c r="C53" s="12" t="s">
        <v>222</v>
      </c>
      <c r="D53" s="36" t="s">
        <v>318</v>
      </c>
    </row>
    <row r="54" spans="1:7" s="19" customFormat="1" ht="21.95" customHeight="1">
      <c r="A54" s="20"/>
      <c r="B54" s="70" t="s">
        <v>62</v>
      </c>
      <c r="C54" s="11"/>
      <c r="D54" s="37"/>
      <c r="E54" s="18"/>
    </row>
    <row r="55" spans="1:7" s="19" customFormat="1" ht="21.95" customHeight="1">
      <c r="A55" s="20"/>
      <c r="B55" s="65" t="s">
        <v>63</v>
      </c>
      <c r="C55" s="85">
        <v>1</v>
      </c>
      <c r="D55" s="65" t="s">
        <v>64</v>
      </c>
      <c r="E55" s="77">
        <v>20270228</v>
      </c>
      <c r="F55" s="31"/>
    </row>
    <row r="56" spans="1:7" s="19" customFormat="1" ht="33" customHeight="1">
      <c r="A56" s="20"/>
      <c r="B56" s="67"/>
      <c r="C56" s="71" t="s">
        <v>223</v>
      </c>
      <c r="D56" s="67"/>
      <c r="E56" s="185" t="s">
        <v>319</v>
      </c>
      <c r="F56" s="31"/>
    </row>
    <row r="57" spans="1:7" s="19" customFormat="1" ht="9.9499999999999993" customHeight="1">
      <c r="B57" s="34"/>
      <c r="C57" s="34"/>
      <c r="D57" s="34"/>
      <c r="E57" s="34"/>
    </row>
    <row r="58" spans="1:7" s="4" customFormat="1" ht="21.95" customHeight="1">
      <c r="A58" s="5"/>
      <c r="B58" s="78"/>
      <c r="C58" s="78"/>
      <c r="D58" s="78"/>
      <c r="E58" s="84" t="s">
        <v>221</v>
      </c>
      <c r="F58" s="6"/>
    </row>
    <row r="59" spans="1:7" s="19" customFormat="1" ht="9.9499999999999993" customHeight="1">
      <c r="B59" s="28"/>
      <c r="C59" s="28"/>
      <c r="D59" s="28"/>
      <c r="E59" s="28"/>
    </row>
    <row r="60" spans="1:7" s="19" customFormat="1" ht="21.95" customHeight="1">
      <c r="B60" s="82" t="s">
        <v>224</v>
      </c>
      <c r="C60" s="38"/>
      <c r="D60" s="18"/>
      <c r="E60" s="18"/>
      <c r="F60" s="18"/>
    </row>
    <row r="61" spans="1:7" s="4" customFormat="1" ht="42" customHeight="1">
      <c r="A61" s="5"/>
      <c r="B61" s="233" t="s">
        <v>320</v>
      </c>
      <c r="C61" s="233"/>
      <c r="D61" s="233"/>
      <c r="E61" s="233"/>
      <c r="F61" s="6"/>
      <c r="G61" s="6"/>
    </row>
    <row r="62" spans="1:7" s="4" customFormat="1" ht="30" customHeight="1">
      <c r="A62" s="5"/>
      <c r="B62" s="86" t="s">
        <v>225</v>
      </c>
      <c r="C62" s="83"/>
      <c r="D62" s="83"/>
      <c r="E62" s="104"/>
      <c r="F62" s="87"/>
      <c r="G62" s="6"/>
    </row>
    <row r="63" spans="1:7" s="19" customFormat="1" ht="21.95" customHeight="1">
      <c r="A63" s="20"/>
      <c r="B63" s="39" t="s">
        <v>226</v>
      </c>
      <c r="C63" s="229" t="s">
        <v>65</v>
      </c>
      <c r="D63" s="230"/>
      <c r="E63" s="39" t="s">
        <v>273</v>
      </c>
      <c r="F63" s="40"/>
    </row>
    <row r="64" spans="1:7" s="19" customFormat="1" ht="21.95" customHeight="1">
      <c r="A64" s="20"/>
      <c r="B64" s="110" t="s">
        <v>227</v>
      </c>
      <c r="C64" s="113" t="s">
        <v>241</v>
      </c>
      <c r="D64" s="116" t="s">
        <v>250</v>
      </c>
      <c r="E64" s="117" t="s">
        <v>274</v>
      </c>
      <c r="F64" s="31"/>
    </row>
    <row r="65" spans="1:6" s="19" customFormat="1" ht="21.95" customHeight="1">
      <c r="A65" s="20"/>
      <c r="B65" s="110" t="s">
        <v>229</v>
      </c>
      <c r="C65" s="113" t="s">
        <v>241</v>
      </c>
      <c r="D65" s="116" t="s">
        <v>257</v>
      </c>
      <c r="E65" s="117" t="s">
        <v>275</v>
      </c>
      <c r="F65" s="31"/>
    </row>
    <row r="66" spans="1:6" s="19" customFormat="1" ht="21.95" customHeight="1">
      <c r="A66" s="20"/>
      <c r="B66" s="110" t="s">
        <v>230</v>
      </c>
      <c r="C66" s="113" t="s">
        <v>239</v>
      </c>
      <c r="D66" s="116" t="s">
        <v>246</v>
      </c>
      <c r="E66" s="117" t="s">
        <v>276</v>
      </c>
      <c r="F66" s="31"/>
    </row>
    <row r="67" spans="1:6" s="19" customFormat="1" ht="21.95" customHeight="1">
      <c r="A67" s="20"/>
      <c r="B67" s="110" t="s">
        <v>231</v>
      </c>
      <c r="C67" s="113" t="s">
        <v>243</v>
      </c>
      <c r="D67" s="118" t="s">
        <v>79</v>
      </c>
      <c r="E67" s="117" t="s">
        <v>279</v>
      </c>
      <c r="F67" s="31"/>
    </row>
    <row r="68" spans="1:6" s="19" customFormat="1" ht="21.95" customHeight="1">
      <c r="A68" s="20"/>
      <c r="B68" s="110" t="s">
        <v>232</v>
      </c>
      <c r="C68" s="113" t="s">
        <v>243</v>
      </c>
      <c r="D68" s="118" t="s">
        <v>265</v>
      </c>
      <c r="E68" s="117" t="s">
        <v>280</v>
      </c>
      <c r="F68" s="31"/>
    </row>
    <row r="69" spans="1:6" s="19" customFormat="1" ht="21.95" customHeight="1">
      <c r="A69" s="20"/>
      <c r="B69" s="110" t="s">
        <v>233</v>
      </c>
      <c r="C69" s="113" t="s">
        <v>239</v>
      </c>
      <c r="D69" s="116" t="s">
        <v>246</v>
      </c>
      <c r="E69" s="117" t="s">
        <v>276</v>
      </c>
      <c r="F69" s="31"/>
    </row>
    <row r="70" spans="1:6" s="19" customFormat="1" ht="21.95" customHeight="1">
      <c r="A70" s="20"/>
      <c r="B70" s="110" t="s">
        <v>234</v>
      </c>
      <c r="C70" s="119" t="s">
        <v>239</v>
      </c>
      <c r="D70" s="120" t="s">
        <v>248</v>
      </c>
      <c r="E70" s="117" t="s">
        <v>281</v>
      </c>
      <c r="F70" s="31"/>
    </row>
    <row r="71" spans="1:6" s="19" customFormat="1" ht="21.95" customHeight="1">
      <c r="A71" s="20"/>
      <c r="B71" s="110" t="s">
        <v>235</v>
      </c>
      <c r="C71" s="119" t="s">
        <v>239</v>
      </c>
      <c r="D71" s="120" t="s">
        <v>248</v>
      </c>
      <c r="E71" s="117" t="s">
        <v>282</v>
      </c>
      <c r="F71" s="31"/>
    </row>
    <row r="72" spans="1:6" s="19" customFormat="1" ht="21.95" customHeight="1">
      <c r="A72" s="20"/>
      <c r="B72" s="110" t="s">
        <v>236</v>
      </c>
      <c r="C72" s="119" t="s">
        <v>239</v>
      </c>
      <c r="D72" s="120" t="s">
        <v>248</v>
      </c>
      <c r="E72" s="117" t="s">
        <v>283</v>
      </c>
      <c r="F72" s="31"/>
    </row>
    <row r="73" spans="1:6" s="19" customFormat="1" ht="21.95" customHeight="1">
      <c r="A73" s="20"/>
      <c r="B73" s="110" t="s">
        <v>237</v>
      </c>
      <c r="C73" s="119" t="s">
        <v>239</v>
      </c>
      <c r="D73" s="120" t="s">
        <v>248</v>
      </c>
      <c r="E73" s="117" t="s">
        <v>284</v>
      </c>
      <c r="F73" s="31"/>
    </row>
    <row r="74" spans="1:6" s="19" customFormat="1" ht="21.95" customHeight="1">
      <c r="A74" s="20"/>
      <c r="B74" s="110" t="s">
        <v>321</v>
      </c>
      <c r="C74" s="113" t="s">
        <v>239</v>
      </c>
      <c r="D74" s="116" t="s">
        <v>246</v>
      </c>
      <c r="E74" s="117" t="s">
        <v>276</v>
      </c>
      <c r="F74" s="31"/>
    </row>
    <row r="75" spans="1:6" s="19" customFormat="1" ht="21.95" customHeight="1">
      <c r="A75" s="20"/>
      <c r="B75" s="110"/>
      <c r="C75" s="113"/>
      <c r="D75" s="118"/>
      <c r="E75" s="121"/>
      <c r="F75" s="31"/>
    </row>
    <row r="76" spans="1:6" s="19" customFormat="1" ht="21.95" customHeight="1">
      <c r="A76" s="20"/>
      <c r="B76" s="122" t="s">
        <v>228</v>
      </c>
      <c r="C76" s="231" t="s">
        <v>277</v>
      </c>
      <c r="D76" s="232"/>
      <c r="E76" s="123" t="s">
        <v>278</v>
      </c>
      <c r="F76" s="31"/>
    </row>
    <row r="77" spans="1:6" s="19" customFormat="1" ht="9.9499999999999993" customHeight="1">
      <c r="B77" s="28"/>
      <c r="C77" s="28"/>
      <c r="D77" s="34"/>
      <c r="E77" s="34"/>
    </row>
    <row r="78" spans="1:6" s="4" customFormat="1" ht="30" customHeight="1">
      <c r="B78" s="102" t="s">
        <v>323</v>
      </c>
      <c r="C78" s="103"/>
      <c r="D78" s="39" t="s">
        <v>14</v>
      </c>
      <c r="E78" s="186" t="s">
        <v>322</v>
      </c>
      <c r="F78" s="19"/>
    </row>
    <row r="79" spans="1:6" s="19" customFormat="1" ht="21.95" customHeight="1">
      <c r="B79" s="82" t="s">
        <v>66</v>
      </c>
      <c r="C79" s="41"/>
      <c r="D79" s="18"/>
      <c r="E79" s="18"/>
    </row>
    <row r="80" spans="1:6" s="19" customFormat="1" ht="21.95" customHeight="1">
      <c r="A80" s="20"/>
      <c r="B80" s="39" t="s">
        <v>67</v>
      </c>
      <c r="C80" s="39" t="s">
        <v>68</v>
      </c>
      <c r="D80" s="39" t="s">
        <v>69</v>
      </c>
      <c r="E80" s="39" t="s">
        <v>285</v>
      </c>
      <c r="F80" s="31"/>
    </row>
    <row r="81" spans="1:6" s="19" customFormat="1" ht="21.95" customHeight="1">
      <c r="A81" s="20"/>
      <c r="B81" s="110" t="s">
        <v>71</v>
      </c>
      <c r="C81" s="110" t="s">
        <v>82</v>
      </c>
      <c r="D81" s="111" t="s">
        <v>81</v>
      </c>
      <c r="E81" s="112" t="s">
        <v>286</v>
      </c>
      <c r="F81" s="31"/>
    </row>
    <row r="82" spans="1:6" s="19" customFormat="1" ht="21.95" customHeight="1">
      <c r="A82" s="20"/>
      <c r="B82" s="113"/>
      <c r="C82" s="113"/>
      <c r="D82" s="114"/>
      <c r="E82" s="115" t="s">
        <v>287</v>
      </c>
      <c r="F82" s="31"/>
    </row>
    <row r="83" spans="1:6" s="19" customFormat="1" ht="21.95" customHeight="1">
      <c r="A83" s="20"/>
      <c r="B83" s="113"/>
      <c r="C83" s="113"/>
      <c r="D83" s="114"/>
      <c r="E83" s="114"/>
      <c r="F83" s="31"/>
    </row>
    <row r="84" spans="1:6" s="19" customFormat="1" ht="9.9499999999999993" customHeight="1">
      <c r="B84" s="28"/>
      <c r="C84" s="28"/>
      <c r="D84" s="28"/>
      <c r="E84" s="28"/>
    </row>
    <row r="85" spans="1:6" s="19" customFormat="1" ht="21.95" customHeight="1">
      <c r="B85" s="82" t="s">
        <v>72</v>
      </c>
      <c r="C85" s="18"/>
      <c r="D85" s="18"/>
      <c r="E85" s="18"/>
    </row>
    <row r="86" spans="1:6" s="19" customFormat="1" ht="21.95" customHeight="1">
      <c r="A86" s="20"/>
      <c r="B86" s="39" t="s">
        <v>73</v>
      </c>
      <c r="C86" s="224" t="s">
        <v>74</v>
      </c>
      <c r="D86" s="224"/>
      <c r="E86" s="39" t="s">
        <v>70</v>
      </c>
      <c r="F86" s="31"/>
    </row>
    <row r="87" spans="1:6" s="19" customFormat="1" ht="21.95" customHeight="1">
      <c r="A87" s="20"/>
      <c r="B87" s="53" t="s">
        <v>75</v>
      </c>
      <c r="C87" s="56" t="s">
        <v>76</v>
      </c>
      <c r="D87" s="57"/>
      <c r="E87" s="55" t="s">
        <v>298</v>
      </c>
      <c r="F87" s="31"/>
    </row>
    <row r="88" spans="1:6" s="19" customFormat="1" ht="21.95" customHeight="1">
      <c r="A88" s="20"/>
      <c r="B88" s="54" t="s">
        <v>83</v>
      </c>
      <c r="C88" s="56" t="s">
        <v>84</v>
      </c>
      <c r="D88" s="57"/>
      <c r="E88" s="55" t="s">
        <v>298</v>
      </c>
      <c r="F88" s="31"/>
    </row>
    <row r="89" spans="1:6" s="19" customFormat="1" ht="21.95" customHeight="1">
      <c r="A89" s="20"/>
      <c r="B89" s="54" t="s">
        <v>288</v>
      </c>
      <c r="C89" s="56" t="s">
        <v>289</v>
      </c>
      <c r="D89" s="57"/>
      <c r="E89" s="55" t="s">
        <v>298</v>
      </c>
      <c r="F89" s="31"/>
    </row>
    <row r="90" spans="1:6" s="19" customFormat="1" ht="21.95" customHeight="1">
      <c r="A90" s="20"/>
      <c r="B90" s="54" t="s">
        <v>77</v>
      </c>
      <c r="C90" s="59" t="s">
        <v>299</v>
      </c>
      <c r="D90" s="57"/>
      <c r="E90" s="55" t="s">
        <v>301</v>
      </c>
      <c r="F90" s="31"/>
    </row>
    <row r="91" spans="1:6" s="19" customFormat="1" ht="21.95" customHeight="1">
      <c r="A91" s="20"/>
      <c r="B91" s="54" t="s">
        <v>78</v>
      </c>
      <c r="C91" s="59" t="s">
        <v>300</v>
      </c>
      <c r="D91" s="58"/>
      <c r="E91" s="55" t="s">
        <v>301</v>
      </c>
      <c r="F91" s="31"/>
    </row>
    <row r="92" spans="1:6" s="19" customFormat="1" ht="9.9499999999999993" customHeight="1">
      <c r="B92" s="34"/>
      <c r="C92" s="34"/>
      <c r="D92" s="34"/>
      <c r="E92" s="34"/>
    </row>
    <row r="93" spans="1:6" s="4" customFormat="1" ht="21.95" customHeight="1">
      <c r="A93" s="5"/>
      <c r="B93" s="78"/>
      <c r="C93" s="78"/>
      <c r="D93" s="78"/>
      <c r="E93" s="84" t="s">
        <v>221</v>
      </c>
      <c r="F93" s="6"/>
    </row>
    <row r="94" spans="1:6" s="19" customFormat="1" ht="9.9499999999999993" customHeight="1">
      <c r="B94" s="34"/>
      <c r="C94" s="34"/>
      <c r="D94" s="34"/>
      <c r="E94" s="34"/>
    </row>
    <row r="95" spans="1:6" s="4" customFormat="1" ht="24.95" customHeight="1">
      <c r="B95" s="223" t="s">
        <v>133</v>
      </c>
      <c r="C95" s="223"/>
      <c r="D95" s="223"/>
      <c r="E95" s="223"/>
    </row>
  </sheetData>
  <sheetProtection selectLockedCells="1"/>
  <mergeCells count="7">
    <mergeCell ref="B95:E95"/>
    <mergeCell ref="C86:D86"/>
    <mergeCell ref="B1:E1"/>
    <mergeCell ref="B3:E3"/>
    <mergeCell ref="C63:D63"/>
    <mergeCell ref="C76:D76"/>
    <mergeCell ref="B61:E61"/>
  </mergeCells>
  <phoneticPr fontId="1" type="noConversion"/>
  <dataValidations count="8">
    <dataValidation type="list" allowBlank="1" showInputMessage="1" showErrorMessage="1" sqref="C54" xr:uid="{ACF62397-2D89-4BE2-826A-E72C601998F2}">
      <formula1>"정년퇴직, 명예퇴직, 의원면직, 직권면직, 사망퇴직"</formula1>
    </dataValidation>
    <dataValidation type="list" allowBlank="1" showInputMessage="1" showErrorMessage="1" sqref="C23" xr:uid="{786E5DE7-27A0-4402-890E-49B65EE0EA11}">
      <formula1>"황조근정훈장(40년 이상), 홍조근정훈장(38년~39년), 녹조근정훈장(36년~37년), 옥조근정훈장(33년~35년), 근정포장(30년~32년), 대통령표창(28년~29년), 국무총리표창(25년~27년)"</formula1>
    </dataValidation>
    <dataValidation type="list" allowBlank="1" showInputMessage="1" showErrorMessage="1" sqref="C19" xr:uid="{04F80D63-B0FE-40EF-9CA4-B2629074A357}">
      <formula1>"공무원(교원), 사립학교교원"</formula1>
    </dataValidation>
    <dataValidation type="list" allowBlank="1" showInputMessage="1" showErrorMessage="1" sqref="C15" xr:uid="{4ABF1FC2-4C25-4979-922D-AFDC281DDC49}">
      <formula1>"생존, 사망(추서)"</formula1>
    </dataValidation>
    <dataValidation type="list" allowBlank="1" showInputMessage="1" showErrorMessage="1" sqref="E14" xr:uid="{6D7DF667-7856-4CF5-AFC1-F8FAB3EE79D9}">
      <formula1>"남성, 여성"</formula1>
    </dataValidation>
    <dataValidation type="list" allowBlank="1" showInputMessage="1" showErrorMessage="1" sqref="C10" xr:uid="{D91BADEB-6A6E-46DB-9546-A9A1E05673EF}">
      <formula1>"공무원, 사립학교교원"</formula1>
    </dataValidation>
    <dataValidation type="list" allowBlank="1" showInputMessage="1" showErrorMessage="1" sqref="E19" xr:uid="{34393482-29F8-40D4-946D-12BB2996B61A}">
      <formula1>"교사, 수석교사, 교장, 원장, 교감, 원감, 장학관, 장학사, 교육연구관, 교육연구사, 교육장, 원로교사"</formula1>
    </dataValidation>
    <dataValidation type="list" allowBlank="1" showInputMessage="1" showErrorMessage="1" sqref="C53" xr:uid="{DCF84D38-DA18-4494-9DCA-43E317EC6A58}">
      <formula1>"증서에 기재되는 직급명 선택, 교사, 수석교사, 교장, 원장, 교감, 원감, 장학관, 장학사, 교육연구관, 교육연구사, 교육장"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A915D1-6A6D-4534-B39D-B399704E5DE7}">
          <x14:formula1>
            <xm:f>'(숨김)'!$H$2:$H$4</xm:f>
          </x14:formula1>
          <xm:sqref>C64:C75</xm:sqref>
        </x14:dataValidation>
        <x14:dataValidation type="list" allowBlank="1" showInputMessage="1" showErrorMessage="1" xr:uid="{C5C42A5C-D602-49AC-B523-F37EFC337764}">
          <x14:formula1>
            <xm:f>'(숨김)'!$J$2:$J$8</xm:f>
          </x14:formula1>
          <xm:sqref>D64:D65</xm:sqref>
        </x14:dataValidation>
        <x14:dataValidation type="list" allowBlank="1" showInputMessage="1" showErrorMessage="1" xr:uid="{3D08FA5A-C53D-43B8-B727-4F6B54B9E9C8}">
          <x14:formula1>
            <xm:f>'(숨김)'!$I$2:$I$3</xm:f>
          </x14:formula1>
          <xm:sqref>D69:D74 D66</xm:sqref>
        </x14:dataValidation>
        <x14:dataValidation type="list" allowBlank="1" showInputMessage="1" showErrorMessage="1" xr:uid="{2446FDAC-7DAC-4FFE-9ED3-AE90EED9FA5D}">
          <x14:formula1>
            <xm:f>'(숨김)'!$K$2:$K$9</xm:f>
          </x14:formula1>
          <xm:sqref>D67:D68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4796-5F04-4398-9238-AA081F16E3E5}">
  <dimension ref="A1:L9"/>
  <sheetViews>
    <sheetView workbookViewId="0"/>
  </sheetViews>
  <sheetFormatPr defaultColWidth="15.625" defaultRowHeight="30" customHeight="1"/>
  <cols>
    <col min="1" max="1" width="18.75" style="76" customWidth="1"/>
    <col min="2" max="2" width="17.125" style="76" customWidth="1"/>
    <col min="3" max="5" width="5.75" style="76" customWidth="1"/>
    <col min="6" max="6" width="15.625" style="76"/>
    <col min="7" max="7" width="4" style="76" customWidth="1"/>
    <col min="8" max="8" width="15.625" style="76"/>
    <col min="9" max="9" width="19.375" style="76" customWidth="1"/>
    <col min="10" max="10" width="38.75" style="76" customWidth="1"/>
    <col min="11" max="11" width="17.125" style="76" customWidth="1"/>
    <col min="12" max="16384" width="15.625" style="76"/>
  </cols>
  <sheetData>
    <row r="1" spans="1:12" ht="30" customHeight="1" thickBot="1">
      <c r="A1" s="98" t="s">
        <v>245</v>
      </c>
      <c r="B1" s="94" t="s">
        <v>214</v>
      </c>
      <c r="C1" s="94" t="s">
        <v>215</v>
      </c>
      <c r="D1" s="94" t="s">
        <v>216</v>
      </c>
      <c r="E1" s="94" t="s">
        <v>212</v>
      </c>
      <c r="F1" s="95" t="s">
        <v>213</v>
      </c>
      <c r="H1" s="101" t="s">
        <v>238</v>
      </c>
      <c r="I1" s="94" t="s">
        <v>240</v>
      </c>
      <c r="J1" s="94" t="s">
        <v>242</v>
      </c>
      <c r="K1" s="95" t="s">
        <v>244</v>
      </c>
      <c r="L1" s="76" t="s">
        <v>268</v>
      </c>
    </row>
    <row r="2" spans="1:12" ht="30" customHeight="1">
      <c r="A2" s="96" t="s">
        <v>207</v>
      </c>
      <c r="B2" s="88" t="str">
        <f>'(참고)상훈포털 입력방법 안내'!E78</f>
        <v>(예시)  37-11-15</v>
      </c>
      <c r="C2" s="88" t="str">
        <f>LEFT(B2,2)</f>
        <v>(예</v>
      </c>
      <c r="D2" s="88" t="str">
        <f>MID(B2,4,2)</f>
        <v xml:space="preserve">) </v>
      </c>
      <c r="E2" s="88" t="str">
        <f>RIGHT(B2,2)</f>
        <v>15</v>
      </c>
      <c r="F2" s="128" t="str">
        <f>C2&amp;$C$1&amp;D2&amp;$D$1&amp;E2&amp;$E$1</f>
        <v>(예년 ) 월 15일</v>
      </c>
      <c r="H2" s="96" t="s">
        <v>240</v>
      </c>
      <c r="I2" s="99" t="s">
        <v>247</v>
      </c>
      <c r="J2" s="99" t="s">
        <v>251</v>
      </c>
      <c r="K2" s="89" t="s">
        <v>259</v>
      </c>
      <c r="L2" s="76" t="s">
        <v>269</v>
      </c>
    </row>
    <row r="3" spans="1:12" ht="30" customHeight="1">
      <c r="A3" s="96" t="s">
        <v>208</v>
      </c>
      <c r="B3" s="90" t="e">
        <f>#REF!</f>
        <v>#REF!</v>
      </c>
      <c r="C3" s="88" t="e">
        <f>LEFT(B3,2)</f>
        <v>#REF!</v>
      </c>
      <c r="D3" s="88" t="e">
        <f>MID(B3,4,2)</f>
        <v>#REF!</v>
      </c>
      <c r="E3" s="88" t="e">
        <f>RIGHT(B3,2)</f>
        <v>#REF!</v>
      </c>
      <c r="F3" s="128" t="e">
        <f>C3&amp;$C$1&amp;D3&amp;$D$1&amp;E3&amp;$E$1</f>
        <v>#REF!</v>
      </c>
      <c r="H3" s="96" t="s">
        <v>242</v>
      </c>
      <c r="I3" s="99" t="s">
        <v>249</v>
      </c>
      <c r="J3" s="99" t="s">
        <v>252</v>
      </c>
      <c r="K3" s="89" t="s">
        <v>260</v>
      </c>
      <c r="L3" s="76" t="s">
        <v>270</v>
      </c>
    </row>
    <row r="4" spans="1:12" ht="30" customHeight="1">
      <c r="A4" s="96" t="s">
        <v>209</v>
      </c>
      <c r="B4" s="90" t="e">
        <f>#REF!</f>
        <v>#REF!</v>
      </c>
      <c r="C4" s="88" t="e">
        <f>LEFT(B4,2)</f>
        <v>#REF!</v>
      </c>
      <c r="D4" s="88" t="e">
        <f>MID(B4,4,2)</f>
        <v>#REF!</v>
      </c>
      <c r="E4" s="88" t="e">
        <f>RIGHT(B4,2)</f>
        <v>#REF!</v>
      </c>
      <c r="F4" s="128" t="e">
        <f>C4&amp;$C$1&amp;D4&amp;$D$1&amp;E4&amp;$E$1</f>
        <v>#REF!</v>
      </c>
      <c r="H4" s="96" t="s">
        <v>244</v>
      </c>
      <c r="I4" s="99"/>
      <c r="J4" s="99" t="s">
        <v>253</v>
      </c>
      <c r="K4" s="89" t="s">
        <v>261</v>
      </c>
      <c r="L4" s="76" t="s">
        <v>271</v>
      </c>
    </row>
    <row r="5" spans="1:12" ht="30" customHeight="1">
      <c r="A5" s="96" t="s">
        <v>210</v>
      </c>
      <c r="B5" s="90" t="e">
        <f>#REF!</f>
        <v>#REF!</v>
      </c>
      <c r="C5" s="88" t="e">
        <f>LEFT(B5,2)</f>
        <v>#REF!</v>
      </c>
      <c r="D5" s="88" t="e">
        <f>MID(B5,4,2)</f>
        <v>#REF!</v>
      </c>
      <c r="E5" s="88" t="e">
        <f>RIGHT(B5,2)</f>
        <v>#REF!</v>
      </c>
      <c r="F5" s="128" t="e">
        <f>C5&amp;$C$1&amp;D5&amp;$D$1&amp;E5&amp;$E$1</f>
        <v>#REF!</v>
      </c>
      <c r="H5" s="96"/>
      <c r="I5" s="99"/>
      <c r="J5" s="99" t="s">
        <v>254</v>
      </c>
      <c r="K5" s="89" t="s">
        <v>262</v>
      </c>
      <c r="L5" s="76" t="s">
        <v>272</v>
      </c>
    </row>
    <row r="6" spans="1:12" ht="30" customHeight="1" thickBot="1">
      <c r="A6" s="97" t="s">
        <v>211</v>
      </c>
      <c r="B6" s="91" t="e">
        <f>#REF!</f>
        <v>#REF!</v>
      </c>
      <c r="C6" s="92" t="e">
        <f>LEFT(B6,2)</f>
        <v>#REF!</v>
      </c>
      <c r="D6" s="92" t="e">
        <f>MID(B6,4,2)</f>
        <v>#REF!</v>
      </c>
      <c r="E6" s="92" t="e">
        <f>RIGHT(B6,2)</f>
        <v>#REF!</v>
      </c>
      <c r="F6" s="129" t="e">
        <f>C6&amp;$C$1&amp;D6&amp;$D$1&amp;E6&amp;$E$1</f>
        <v>#REF!</v>
      </c>
      <c r="H6" s="96"/>
      <c r="I6" s="99"/>
      <c r="J6" s="99" t="s">
        <v>255</v>
      </c>
      <c r="K6" s="89" t="s">
        <v>263</v>
      </c>
    </row>
    <row r="7" spans="1:12" ht="30" customHeight="1">
      <c r="H7" s="96"/>
      <c r="I7" s="99"/>
      <c r="J7" s="99" t="s">
        <v>256</v>
      </c>
      <c r="K7" s="89" t="s">
        <v>264</v>
      </c>
    </row>
    <row r="8" spans="1:12" ht="30" customHeight="1">
      <c r="H8" s="96"/>
      <c r="I8" s="99"/>
      <c r="J8" s="99" t="s">
        <v>258</v>
      </c>
      <c r="K8" s="89" t="s">
        <v>266</v>
      </c>
    </row>
    <row r="9" spans="1:12" ht="30" customHeight="1" thickBot="1">
      <c r="H9" s="97"/>
      <c r="I9" s="100"/>
      <c r="J9" s="100"/>
      <c r="K9" s="93" t="s">
        <v>267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(작성)추천자명단</vt:lpstr>
      <vt:lpstr>(참고)상훈포털 입력방법 안내</vt:lpstr>
      <vt:lpstr>(숨김)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2026-04-09T04:06:09Z</dcterms:created>
  <dcterms:modified xsi:type="dcterms:W3CDTF">2026-10-27T04:59:25Z</dcterms:modified>
</cp:coreProperties>
</file>